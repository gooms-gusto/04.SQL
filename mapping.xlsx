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"/>
    </mc:Choice>
  </mc:AlternateContent>
  <xr:revisionPtr revIDLastSave="0" documentId="8_{A217F733-208A-4663-893A-9204462A1F3A}" xr6:coauthVersionLast="47" xr6:coauthVersionMax="47" xr10:uidLastSave="{00000000-0000-0000-0000-000000000000}"/>
  <bookViews>
    <workbookView xWindow="-120" yWindow="-120" windowWidth="29040" windowHeight="15720" xr2:uid="{82CB6893-5D60-4CB4-939A-B077F88C46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0" i="1" l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7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7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5" i="1"/>
</calcChain>
</file>

<file path=xl/sharedStrings.xml><?xml version="1.0" encoding="utf-8"?>
<sst xmlns="http://schemas.openxmlformats.org/spreadsheetml/2006/main" count="242" uniqueCount="122">
  <si>
    <t>organizationId</t>
  </si>
  <si>
    <t>warehouseId</t>
  </si>
  <si>
    <t>tdocNo</t>
  </si>
  <si>
    <t>tdocLineNo</t>
  </si>
  <si>
    <t>tdocLineStatus</t>
  </si>
  <si>
    <t>fmCustomerId</t>
  </si>
  <si>
    <t>fmSku</t>
  </si>
  <si>
    <t>fmLotNum</t>
  </si>
  <si>
    <t>fmLocation</t>
  </si>
  <si>
    <t>fmId</t>
  </si>
  <si>
    <t>fmQty</t>
  </si>
  <si>
    <t>fmQtyAllocated</t>
  </si>
  <si>
    <t>fmQtyOnHold</t>
  </si>
  <si>
    <t>fmQtyAvailable</t>
  </si>
  <si>
    <t>fmGrossWeight</t>
  </si>
  <si>
    <t>fmNetWeight</t>
  </si>
  <si>
    <t>fmCubic</t>
  </si>
  <si>
    <t>fmPrice</t>
  </si>
  <si>
    <t>toCustomerId</t>
  </si>
  <si>
    <t>toSku</t>
  </si>
  <si>
    <t>toLocation</t>
  </si>
  <si>
    <t>toId</t>
  </si>
  <si>
    <t>toQty</t>
  </si>
  <si>
    <t>toGrossWeight</t>
  </si>
  <si>
    <t>toNetWeight</t>
  </si>
  <si>
    <t>toCubic</t>
  </si>
  <si>
    <t>toPrice</t>
  </si>
  <si>
    <t>toLotAtt01</t>
  </si>
  <si>
    <t>toLotAtt02</t>
  </si>
  <si>
    <t>toLotAtt03</t>
  </si>
  <si>
    <t>toLotAtt04</t>
  </si>
  <si>
    <t>toLotAtt05</t>
  </si>
  <si>
    <t>toLotAtt06</t>
  </si>
  <si>
    <t>toLotAtt07</t>
  </si>
  <si>
    <t>toLotAtt08</t>
  </si>
  <si>
    <t>toLotAtt09</t>
  </si>
  <si>
    <t>toLotAtt10</t>
  </si>
  <si>
    <t>toLotAtt11</t>
  </si>
  <si>
    <t>toLotAtt12</t>
  </si>
  <si>
    <t>gainLossQty</t>
  </si>
  <si>
    <t>approveTime</t>
  </si>
  <si>
    <t>approveBy</t>
  </si>
  <si>
    <t>noteText</t>
  </si>
  <si>
    <t>udf01</t>
  </si>
  <si>
    <t>udf02</t>
  </si>
  <si>
    <t>udf03</t>
  </si>
  <si>
    <t>udf04</t>
  </si>
  <si>
    <t>udf05</t>
  </si>
  <si>
    <t>currentVersion</t>
  </si>
  <si>
    <t>oprSeqFlag</t>
  </si>
  <si>
    <t>addWho</t>
  </si>
  <si>
    <t>addTime</t>
  </si>
  <si>
    <t>editWho</t>
  </si>
  <si>
    <t>editTime</t>
  </si>
  <si>
    <t>toLotAtt13</t>
  </si>
  <si>
    <t>toLotAtt14</t>
  </si>
  <si>
    <t>toLotAtt15</t>
  </si>
  <si>
    <t>toLotAtt16</t>
  </si>
  <si>
    <t>toLotAtt17</t>
  </si>
  <si>
    <t>toLotAtt18</t>
  </si>
  <si>
    <t>toLotAtt19</t>
  </si>
  <si>
    <t>toLotAtt20</t>
  </si>
  <si>
    <t>toLotAtt21</t>
  </si>
  <si>
    <t>toLotAtt22</t>
  </si>
  <si>
    <t>toLotAtt23</t>
  </si>
  <si>
    <t>toLotAtt24</t>
  </si>
  <si>
    <t>sourceId</t>
  </si>
  <si>
    <t>reasonCode</t>
  </si>
  <si>
    <t>reason</t>
  </si>
  <si>
    <t>toMuId</t>
  </si>
  <si>
    <t>varchar(20)</t>
  </si>
  <si>
    <t>int(11)</t>
  </si>
  <si>
    <t>varchar(2)</t>
  </si>
  <si>
    <t>varchar(30)</t>
  </si>
  <si>
    <t>varchar(50)</t>
  </si>
  <si>
    <t>varchar(10)</t>
  </si>
  <si>
    <t>varchar(60)</t>
  </si>
  <si>
    <t>decimal(18,8)</t>
  </si>
  <si>
    <t>decimal(24,8)</t>
  </si>
  <si>
    <t>varchar(100)</t>
  </si>
  <si>
    <t>timestamp</t>
  </si>
  <si>
    <t>varchar(35)</t>
  </si>
  <si>
    <t>mediumtext</t>
  </si>
  <si>
    <t>varchar(500)</t>
  </si>
  <si>
    <t>varchar(65)</t>
  </si>
  <si>
    <t>varchar(40)</t>
  </si>
  <si>
    <t>varchar(15)</t>
  </si>
  <si>
    <t>tdocType</t>
  </si>
  <si>
    <t>status</t>
  </si>
  <si>
    <t>customerId</t>
  </si>
  <si>
    <t>tdocCreationTime</t>
  </si>
  <si>
    <t>transferTime</t>
  </si>
  <si>
    <t>userDefineA</t>
  </si>
  <si>
    <t>userDefineB</t>
  </si>
  <si>
    <t>source</t>
  </si>
  <si>
    <t>sourceNo</t>
  </si>
  <si>
    <t>hedi01</t>
  </si>
  <si>
    <t>hedi02</t>
  </si>
  <si>
    <t>hedi03</t>
  </si>
  <si>
    <t>hedi04</t>
  </si>
  <si>
    <t>hedi05</t>
  </si>
  <si>
    <t>hedi06</t>
  </si>
  <si>
    <t>hedi07</t>
  </si>
  <si>
    <t>hedi08</t>
  </si>
  <si>
    <t>hedi09</t>
  </si>
  <si>
    <t>hedi10</t>
  </si>
  <si>
    <t>ediSendFlag</t>
  </si>
  <si>
    <t>ediSendTime</t>
  </si>
  <si>
    <t>ediErrorCode</t>
  </si>
  <si>
    <t>ediErrorMessage</t>
  </si>
  <si>
    <t>ediSendTime2</t>
  </si>
  <si>
    <t>ediSendFlag2</t>
  </si>
  <si>
    <t>ediErrorCode2</t>
  </si>
  <si>
    <t>ediErrorMessage2</t>
  </si>
  <si>
    <t>ediSendTime3</t>
  </si>
  <si>
    <t>ediSendFlag3</t>
  </si>
  <si>
    <t>ediErrorCode3</t>
  </si>
  <si>
    <t>ediErrorMessage3</t>
  </si>
  <si>
    <t>listPrintFlag</t>
  </si>
  <si>
    <t>varchar(200)</t>
  </si>
  <si>
    <t>char(1)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</si>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</sst>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E184-9BC5-4AA0-89CC-704AE9621758}">
  <dimension ref="F4:Q130"/>
  <sheetViews>
    <sheetView tabSelected="1" topLeftCell="B5" zoomScale="130" zoomScaleNormal="130" workbookViewId="0">
      <selection activeCell="Q5" sqref="Q5:Q130"/>
    </sheetView>
  </sheetViews>
  <sheetFormatPr defaultRowHeight="15" x14ac:dyDescent="0.25"/>
  <cols>
    <col min="6" max="6" width="14.5703125" bestFit="1" customWidth="1"/>
    <col min="7" max="7" width="12.140625" customWidth="1"/>
    <col min="9" max="9" width="31.42578125" bestFit="1" customWidth="1"/>
    <col min="15" max="15" width="19.28515625" customWidth="1"/>
  </cols>
  <sheetData>
    <row r="4" spans="6:17" s="1" customFormat="1" x14ac:dyDescent="0.25"/>
    <row r="5" spans="6:17" x14ac:dyDescent="0.25">
      <c r="F5" t="s">
        <v>0</v>
      </c>
      <c r="G5" t="s">
        <v>70</v>
      </c>
      <c r="I5" t="str">
        <f>"DECLARE odd_" &amp;F5 &amp; " " &amp; G5 &amp; ";"</f>
        <v>DECLARE odd_organizationId varchar(20);</v>
      </c>
      <c r="L5" t="str">
        <f t="shared" ref="L5:L68" si="0">"dtd."&amp;F5&amp;","</f>
        <v>dtd.organizationId,</v>
      </c>
      <c r="O5" t="str">
        <f>"odd_" &amp;F5 &amp; ","</f>
        <v>odd_organizationId,</v>
      </c>
      <c r="Q5" t="str">
        <f>F5&amp;","</f>
        <v>organizationId,</v>
      </c>
    </row>
    <row r="6" spans="6:17" x14ac:dyDescent="0.25">
      <c r="F6" t="s">
        <v>1</v>
      </c>
      <c r="G6" t="s">
        <v>70</v>
      </c>
      <c r="I6" t="str">
        <f t="shared" ref="I6:I69" si="1">"DECLARE odd_" &amp;F6 &amp; " " &amp; G6 &amp; ";"</f>
        <v>DECLARE odd_warehouseId varchar(20);</v>
      </c>
      <c r="L6" t="str">
        <f t="shared" si="0"/>
        <v>dtd.warehouseId,</v>
      </c>
      <c r="O6" t="str">
        <f t="shared" ref="O6:O69" si="2">"odd_" &amp;F6 &amp; ","</f>
        <v>odd_warehouseId,</v>
      </c>
      <c r="Q6" t="str">
        <f t="shared" ref="Q6:Q69" si="3">F6&amp;","</f>
        <v>warehouseId,</v>
      </c>
    </row>
    <row r="7" spans="6:17" x14ac:dyDescent="0.25">
      <c r="F7" t="s">
        <v>2</v>
      </c>
      <c r="G7" t="s">
        <v>70</v>
      </c>
      <c r="I7" t="str">
        <f t="shared" si="1"/>
        <v>DECLARE odd_tdocNo varchar(20);</v>
      </c>
      <c r="L7" t="str">
        <f t="shared" si="0"/>
        <v>dtd.tdocNo,</v>
      </c>
      <c r="O7" t="str">
        <f t="shared" si="2"/>
        <v>odd_tdocNo,</v>
      </c>
      <c r="Q7" t="str">
        <f t="shared" si="3"/>
        <v>tdocNo,</v>
      </c>
    </row>
    <row r="8" spans="6:17" x14ac:dyDescent="0.25">
      <c r="F8" t="s">
        <v>3</v>
      </c>
      <c r="G8" t="s">
        <v>71</v>
      </c>
      <c r="I8" t="str">
        <f t="shared" si="1"/>
        <v>DECLARE odd_tdocLineNo int(11);</v>
      </c>
      <c r="L8" t="str">
        <f t="shared" si="0"/>
        <v>dtd.tdocLineNo,</v>
      </c>
      <c r="O8" t="str">
        <f t="shared" si="2"/>
        <v>odd_tdocLineNo,</v>
      </c>
      <c r="Q8" t="str">
        <f t="shared" si="3"/>
        <v>tdocLineNo,</v>
      </c>
    </row>
    <row r="9" spans="6:17" x14ac:dyDescent="0.25">
      <c r="F9" t="s">
        <v>4</v>
      </c>
      <c r="G9" t="s">
        <v>72</v>
      </c>
      <c r="I9" t="str">
        <f t="shared" si="1"/>
        <v>DECLARE odd_tdocLineStatus varchar(2);</v>
      </c>
      <c r="L9" t="str">
        <f t="shared" si="0"/>
        <v>dtd.tdocLineStatus,</v>
      </c>
      <c r="O9" t="str">
        <f t="shared" si="2"/>
        <v>odd_tdocLineStatus,</v>
      </c>
      <c r="Q9" t="str">
        <f t="shared" si="3"/>
        <v>tdocLineStatus,</v>
      </c>
    </row>
    <row r="10" spans="6:17" x14ac:dyDescent="0.25">
      <c r="F10" t="s">
        <v>5</v>
      </c>
      <c r="G10" t="s">
        <v>73</v>
      </c>
      <c r="I10" t="str">
        <f t="shared" si="1"/>
        <v>DECLARE odd_fmCustomerId varchar(30);</v>
      </c>
      <c r="L10" t="str">
        <f t="shared" si="0"/>
        <v>dtd.fmCustomerId,</v>
      </c>
      <c r="O10" t="str">
        <f t="shared" si="2"/>
        <v>odd_fmCustomerId,</v>
      </c>
      <c r="Q10" t="str">
        <f t="shared" si="3"/>
        <v>fmCustomerId,</v>
      </c>
    </row>
    <row r="11" spans="6:17" x14ac:dyDescent="0.25">
      <c r="F11" t="s">
        <v>6</v>
      </c>
      <c r="G11" t="s">
        <v>74</v>
      </c>
      <c r="I11" t="str">
        <f t="shared" si="1"/>
        <v>DECLARE odd_fmSku varchar(50);</v>
      </c>
      <c r="L11" t="str">
        <f t="shared" si="0"/>
        <v>dtd.fmSku,</v>
      </c>
      <c r="O11" t="str">
        <f t="shared" si="2"/>
        <v>odd_fmSku,</v>
      </c>
      <c r="Q11" t="str">
        <f t="shared" si="3"/>
        <v>fmSku,</v>
      </c>
    </row>
    <row r="12" spans="6:17" x14ac:dyDescent="0.25">
      <c r="F12" t="s">
        <v>7</v>
      </c>
      <c r="G12" t="s">
        <v>75</v>
      </c>
      <c r="I12" t="str">
        <f t="shared" si="1"/>
        <v>DECLARE odd_fmLotNum varchar(10);</v>
      </c>
      <c r="L12" t="str">
        <f t="shared" si="0"/>
        <v>dtd.fmLotNum,</v>
      </c>
      <c r="O12" t="str">
        <f t="shared" si="2"/>
        <v>odd_fmLotNum,</v>
      </c>
      <c r="Q12" t="str">
        <f t="shared" si="3"/>
        <v>fmLotNum,</v>
      </c>
    </row>
    <row r="13" spans="6:17" x14ac:dyDescent="0.25">
      <c r="F13" t="s">
        <v>8</v>
      </c>
      <c r="G13" t="s">
        <v>76</v>
      </c>
      <c r="I13" t="str">
        <f t="shared" si="1"/>
        <v>DECLARE odd_fmLocation varchar(60);</v>
      </c>
      <c r="L13" t="str">
        <f t="shared" si="0"/>
        <v>dtd.fmLocation,</v>
      </c>
      <c r="O13" t="str">
        <f t="shared" si="2"/>
        <v>odd_fmLocation,</v>
      </c>
      <c r="Q13" t="str">
        <f t="shared" si="3"/>
        <v>fmLocation,</v>
      </c>
    </row>
    <row r="14" spans="6:17" x14ac:dyDescent="0.25">
      <c r="F14" t="s">
        <v>9</v>
      </c>
      <c r="G14" t="s">
        <v>73</v>
      </c>
      <c r="I14" t="str">
        <f t="shared" si="1"/>
        <v>DECLARE odd_fmId varchar(30);</v>
      </c>
      <c r="L14" t="str">
        <f t="shared" si="0"/>
        <v>dtd.fmId,</v>
      </c>
      <c r="O14" t="str">
        <f t="shared" si="2"/>
        <v>odd_fmId,</v>
      </c>
      <c r="Q14" t="str">
        <f t="shared" si="3"/>
        <v>fmId,</v>
      </c>
    </row>
    <row r="15" spans="6:17" x14ac:dyDescent="0.25">
      <c r="F15" t="s">
        <v>10</v>
      </c>
      <c r="G15" t="s">
        <v>77</v>
      </c>
      <c r="I15" t="str">
        <f t="shared" si="1"/>
        <v>DECLARE odd_fmQty decimal(18,8);</v>
      </c>
      <c r="L15" t="str">
        <f t="shared" si="0"/>
        <v>dtd.fmQty,</v>
      </c>
      <c r="O15" t="str">
        <f t="shared" si="2"/>
        <v>odd_fmQty,</v>
      </c>
      <c r="Q15" t="str">
        <f t="shared" si="3"/>
        <v>fmQty,</v>
      </c>
    </row>
    <row r="16" spans="6:17" x14ac:dyDescent="0.25">
      <c r="F16" t="s">
        <v>11</v>
      </c>
      <c r="G16" t="s">
        <v>77</v>
      </c>
      <c r="I16" t="str">
        <f t="shared" si="1"/>
        <v>DECLARE odd_fmQtyAllocated decimal(18,8);</v>
      </c>
      <c r="L16" t="str">
        <f t="shared" si="0"/>
        <v>dtd.fmQtyAllocated,</v>
      </c>
      <c r="O16" t="str">
        <f t="shared" si="2"/>
        <v>odd_fmQtyAllocated,</v>
      </c>
      <c r="Q16" t="str">
        <f t="shared" si="3"/>
        <v>fmQtyAllocated,</v>
      </c>
    </row>
    <row r="17" spans="6:17" x14ac:dyDescent="0.25">
      <c r="F17" t="s">
        <v>12</v>
      </c>
      <c r="G17" t="s">
        <v>77</v>
      </c>
      <c r="I17" t="str">
        <f t="shared" si="1"/>
        <v>DECLARE odd_fmQtyOnHold decimal(18,8);</v>
      </c>
      <c r="L17" t="str">
        <f t="shared" si="0"/>
        <v>dtd.fmQtyOnHold,</v>
      </c>
      <c r="O17" t="str">
        <f t="shared" si="2"/>
        <v>odd_fmQtyOnHold,</v>
      </c>
      <c r="Q17" t="str">
        <f t="shared" si="3"/>
        <v>fmQtyOnHold,</v>
      </c>
    </row>
    <row r="18" spans="6:17" x14ac:dyDescent="0.25">
      <c r="F18" t="s">
        <v>13</v>
      </c>
      <c r="G18" t="s">
        <v>77</v>
      </c>
      <c r="I18" t="str">
        <f t="shared" si="1"/>
        <v>DECLARE odd_fmQtyAvailable decimal(18,8);</v>
      </c>
      <c r="L18" t="str">
        <f t="shared" si="0"/>
        <v>dtd.fmQtyAvailable,</v>
      </c>
      <c r="O18" t="str">
        <f t="shared" si="2"/>
        <v>odd_fmQtyAvailable,</v>
      </c>
      <c r="Q18" t="str">
        <f t="shared" si="3"/>
        <v>fmQtyAvailable,</v>
      </c>
    </row>
    <row r="19" spans="6:17" x14ac:dyDescent="0.25">
      <c r="F19" t="s">
        <v>14</v>
      </c>
      <c r="G19" t="s">
        <v>77</v>
      </c>
      <c r="I19" t="str">
        <f t="shared" si="1"/>
        <v>DECLARE odd_fmGrossWeight decimal(18,8);</v>
      </c>
      <c r="L19" t="str">
        <f t="shared" si="0"/>
        <v>dtd.fmGrossWeight,</v>
      </c>
      <c r="O19" t="str">
        <f t="shared" si="2"/>
        <v>odd_fmGrossWeight,</v>
      </c>
      <c r="Q19" t="str">
        <f t="shared" si="3"/>
        <v>fmGrossWeight,</v>
      </c>
    </row>
    <row r="20" spans="6:17" x14ac:dyDescent="0.25">
      <c r="F20" t="s">
        <v>15</v>
      </c>
      <c r="G20" t="s">
        <v>77</v>
      </c>
      <c r="I20" t="str">
        <f t="shared" si="1"/>
        <v>DECLARE odd_fmNetWeight decimal(18,8);</v>
      </c>
      <c r="L20" t="str">
        <f t="shared" si="0"/>
        <v>dtd.fmNetWeight,</v>
      </c>
      <c r="O20" t="str">
        <f t="shared" si="2"/>
        <v>odd_fmNetWeight,</v>
      </c>
      <c r="Q20" t="str">
        <f t="shared" si="3"/>
        <v>fmNetWeight,</v>
      </c>
    </row>
    <row r="21" spans="6:17" x14ac:dyDescent="0.25">
      <c r="F21" t="s">
        <v>16</v>
      </c>
      <c r="G21" t="s">
        <v>77</v>
      </c>
      <c r="I21" t="str">
        <f t="shared" si="1"/>
        <v>DECLARE odd_fmCubic decimal(18,8);</v>
      </c>
      <c r="L21" t="str">
        <f t="shared" si="0"/>
        <v>dtd.fmCubic,</v>
      </c>
      <c r="O21" t="str">
        <f t="shared" si="2"/>
        <v>odd_fmCubic,</v>
      </c>
      <c r="Q21" t="str">
        <f t="shared" si="3"/>
        <v>fmCubic,</v>
      </c>
    </row>
    <row r="22" spans="6:17" x14ac:dyDescent="0.25">
      <c r="F22" t="s">
        <v>17</v>
      </c>
      <c r="G22" t="s">
        <v>78</v>
      </c>
      <c r="I22" t="str">
        <f t="shared" si="1"/>
        <v>DECLARE odd_fmPrice decimal(24,8);</v>
      </c>
      <c r="L22" t="str">
        <f t="shared" si="0"/>
        <v>dtd.fmPrice,</v>
      </c>
      <c r="O22" t="str">
        <f t="shared" si="2"/>
        <v>odd_fmPrice,</v>
      </c>
      <c r="Q22" t="str">
        <f t="shared" si="3"/>
        <v>fmPrice,</v>
      </c>
    </row>
    <row r="23" spans="6:17" x14ac:dyDescent="0.25">
      <c r="F23" t="s">
        <v>18</v>
      </c>
      <c r="G23" t="s">
        <v>73</v>
      </c>
      <c r="I23" t="str">
        <f t="shared" si="1"/>
        <v>DECLARE odd_toCustomerId varchar(30);</v>
      </c>
      <c r="L23" t="str">
        <f t="shared" si="0"/>
        <v>dtd.toCustomerId,</v>
      </c>
      <c r="O23" t="str">
        <f t="shared" si="2"/>
        <v>odd_toCustomerId,</v>
      </c>
      <c r="Q23" t="str">
        <f t="shared" si="3"/>
        <v>toCustomerId,</v>
      </c>
    </row>
    <row r="24" spans="6:17" x14ac:dyDescent="0.25">
      <c r="F24" t="s">
        <v>19</v>
      </c>
      <c r="G24" t="s">
        <v>74</v>
      </c>
      <c r="I24" t="str">
        <f t="shared" si="1"/>
        <v>DECLARE odd_toSku varchar(50);</v>
      </c>
      <c r="L24" t="str">
        <f t="shared" si="0"/>
        <v>dtd.toSku,</v>
      </c>
      <c r="O24" t="str">
        <f t="shared" si="2"/>
        <v>odd_toSku,</v>
      </c>
      <c r="Q24" t="str">
        <f t="shared" si="3"/>
        <v>toSku,</v>
      </c>
    </row>
    <row r="25" spans="6:17" x14ac:dyDescent="0.25">
      <c r="F25" t="s">
        <v>20</v>
      </c>
      <c r="G25" t="s">
        <v>76</v>
      </c>
      <c r="I25" t="str">
        <f t="shared" si="1"/>
        <v>DECLARE odd_toLocation varchar(60);</v>
      </c>
      <c r="L25" t="str">
        <f t="shared" si="0"/>
        <v>dtd.toLocation,</v>
      </c>
      <c r="O25" t="str">
        <f t="shared" si="2"/>
        <v>odd_toLocation,</v>
      </c>
      <c r="Q25" t="str">
        <f t="shared" si="3"/>
        <v>toLocation,</v>
      </c>
    </row>
    <row r="26" spans="6:17" x14ac:dyDescent="0.25">
      <c r="F26" t="s">
        <v>21</v>
      </c>
      <c r="G26" t="s">
        <v>73</v>
      </c>
      <c r="I26" t="str">
        <f t="shared" si="1"/>
        <v>DECLARE odd_toId varchar(30);</v>
      </c>
      <c r="L26" t="str">
        <f t="shared" si="0"/>
        <v>dtd.toId,</v>
      </c>
      <c r="O26" t="str">
        <f t="shared" si="2"/>
        <v>odd_toId,</v>
      </c>
      <c r="Q26" t="str">
        <f t="shared" si="3"/>
        <v>toId,</v>
      </c>
    </row>
    <row r="27" spans="6:17" x14ac:dyDescent="0.25">
      <c r="F27" t="s">
        <v>22</v>
      </c>
      <c r="G27" t="s">
        <v>77</v>
      </c>
      <c r="I27" t="str">
        <f t="shared" si="1"/>
        <v>DECLARE odd_toQty decimal(18,8);</v>
      </c>
      <c r="L27" t="str">
        <f t="shared" si="0"/>
        <v>dtd.toQty,</v>
      </c>
      <c r="O27" t="str">
        <f t="shared" si="2"/>
        <v>odd_toQty,</v>
      </c>
      <c r="Q27" t="str">
        <f t="shared" si="3"/>
        <v>toQty,</v>
      </c>
    </row>
    <row r="28" spans="6:17" x14ac:dyDescent="0.25">
      <c r="F28" t="s">
        <v>23</v>
      </c>
      <c r="G28" t="s">
        <v>77</v>
      </c>
      <c r="I28" t="str">
        <f t="shared" si="1"/>
        <v>DECLARE odd_toGrossWeight decimal(18,8);</v>
      </c>
      <c r="L28" t="str">
        <f t="shared" si="0"/>
        <v>dtd.toGrossWeight,</v>
      </c>
      <c r="O28" t="str">
        <f t="shared" si="2"/>
        <v>odd_toGrossWeight,</v>
      </c>
      <c r="Q28" t="str">
        <f t="shared" si="3"/>
        <v>toGrossWeight,</v>
      </c>
    </row>
    <row r="29" spans="6:17" x14ac:dyDescent="0.25">
      <c r="F29" t="s">
        <v>24</v>
      </c>
      <c r="G29" t="s">
        <v>77</v>
      </c>
      <c r="I29" t="str">
        <f t="shared" si="1"/>
        <v>DECLARE odd_toNetWeight decimal(18,8);</v>
      </c>
      <c r="L29" t="str">
        <f t="shared" si="0"/>
        <v>dtd.toNetWeight,</v>
      </c>
      <c r="O29" t="str">
        <f t="shared" si="2"/>
        <v>odd_toNetWeight,</v>
      </c>
      <c r="Q29" t="str">
        <f t="shared" si="3"/>
        <v>toNetWeight,</v>
      </c>
    </row>
    <row r="30" spans="6:17" x14ac:dyDescent="0.25">
      <c r="F30" t="s">
        <v>25</v>
      </c>
      <c r="G30" t="s">
        <v>77</v>
      </c>
      <c r="I30" t="str">
        <f t="shared" si="1"/>
        <v>DECLARE odd_toCubic decimal(18,8);</v>
      </c>
      <c r="L30" t="str">
        <f t="shared" si="0"/>
        <v>dtd.toCubic,</v>
      </c>
      <c r="O30" t="str">
        <f t="shared" si="2"/>
        <v>odd_toCubic,</v>
      </c>
      <c r="Q30" t="str">
        <f t="shared" si="3"/>
        <v>toCubic,</v>
      </c>
    </row>
    <row r="31" spans="6:17" x14ac:dyDescent="0.25">
      <c r="F31" t="s">
        <v>26</v>
      </c>
      <c r="G31" t="s">
        <v>78</v>
      </c>
      <c r="I31" t="str">
        <f t="shared" si="1"/>
        <v>DECLARE odd_toPrice decimal(24,8);</v>
      </c>
      <c r="L31" t="str">
        <f t="shared" si="0"/>
        <v>dtd.toPrice,</v>
      </c>
      <c r="O31" t="str">
        <f t="shared" si="2"/>
        <v>odd_toPrice,</v>
      </c>
      <c r="Q31" t="str">
        <f t="shared" si="3"/>
        <v>toPrice,</v>
      </c>
    </row>
    <row r="32" spans="6:17" x14ac:dyDescent="0.25">
      <c r="F32" t="s">
        <v>27</v>
      </c>
      <c r="G32" t="s">
        <v>70</v>
      </c>
      <c r="I32" t="str">
        <f t="shared" si="1"/>
        <v>DECLARE odd_toLotAtt01 varchar(20);</v>
      </c>
      <c r="L32" t="str">
        <f t="shared" si="0"/>
        <v>dtd.toLotAtt01,</v>
      </c>
      <c r="O32" t="str">
        <f t="shared" si="2"/>
        <v>odd_toLotAtt01,</v>
      </c>
      <c r="Q32" t="str">
        <f t="shared" si="3"/>
        <v>toLotAtt01,</v>
      </c>
    </row>
    <row r="33" spans="6:17" x14ac:dyDescent="0.25">
      <c r="F33" t="s">
        <v>28</v>
      </c>
      <c r="G33" t="s">
        <v>70</v>
      </c>
      <c r="I33" t="str">
        <f t="shared" si="1"/>
        <v>DECLARE odd_toLotAtt02 varchar(20);</v>
      </c>
      <c r="L33" t="str">
        <f t="shared" si="0"/>
        <v>dtd.toLotAtt02,</v>
      </c>
      <c r="O33" t="str">
        <f t="shared" si="2"/>
        <v>odd_toLotAtt02,</v>
      </c>
      <c r="Q33" t="str">
        <f t="shared" si="3"/>
        <v>toLotAtt02,</v>
      </c>
    </row>
    <row r="34" spans="6:17" x14ac:dyDescent="0.25">
      <c r="F34" t="s">
        <v>29</v>
      </c>
      <c r="G34" t="s">
        <v>70</v>
      </c>
      <c r="I34" t="str">
        <f t="shared" si="1"/>
        <v>DECLARE odd_toLotAtt03 varchar(20);</v>
      </c>
      <c r="L34" t="str">
        <f t="shared" si="0"/>
        <v>dtd.toLotAtt03,</v>
      </c>
      <c r="O34" t="str">
        <f t="shared" si="2"/>
        <v>odd_toLotAtt03,</v>
      </c>
      <c r="Q34" t="str">
        <f t="shared" si="3"/>
        <v>toLotAtt03,</v>
      </c>
    </row>
    <row r="35" spans="6:17" x14ac:dyDescent="0.25">
      <c r="F35" t="s">
        <v>30</v>
      </c>
      <c r="G35" t="s">
        <v>79</v>
      </c>
      <c r="I35" t="str">
        <f t="shared" si="1"/>
        <v>DECLARE odd_toLotAtt04 varchar(100);</v>
      </c>
      <c r="L35" t="str">
        <f t="shared" si="0"/>
        <v>dtd.toLotAtt04,</v>
      </c>
      <c r="O35" t="str">
        <f t="shared" si="2"/>
        <v>odd_toLotAtt04,</v>
      </c>
      <c r="Q35" t="str">
        <f t="shared" si="3"/>
        <v>toLotAtt04,</v>
      </c>
    </row>
    <row r="36" spans="6:17" x14ac:dyDescent="0.25">
      <c r="F36" t="s">
        <v>31</v>
      </c>
      <c r="G36" t="s">
        <v>79</v>
      </c>
      <c r="I36" t="str">
        <f t="shared" si="1"/>
        <v>DECLARE odd_toLotAtt05 varchar(100);</v>
      </c>
      <c r="L36" t="str">
        <f t="shared" si="0"/>
        <v>dtd.toLotAtt05,</v>
      </c>
      <c r="O36" t="str">
        <f t="shared" si="2"/>
        <v>odd_toLotAtt05,</v>
      </c>
      <c r="Q36" t="str">
        <f t="shared" si="3"/>
        <v>toLotAtt05,</v>
      </c>
    </row>
    <row r="37" spans="6:17" x14ac:dyDescent="0.25">
      <c r="F37" t="s">
        <v>32</v>
      </c>
      <c r="G37" t="s">
        <v>79</v>
      </c>
      <c r="I37" t="str">
        <f t="shared" si="1"/>
        <v>DECLARE odd_toLotAtt06 varchar(100);</v>
      </c>
      <c r="L37" t="str">
        <f t="shared" si="0"/>
        <v>dtd.toLotAtt06,</v>
      </c>
      <c r="O37" t="str">
        <f t="shared" si="2"/>
        <v>odd_toLotAtt06,</v>
      </c>
      <c r="Q37" t="str">
        <f t="shared" si="3"/>
        <v>toLotAtt06,</v>
      </c>
    </row>
    <row r="38" spans="6:17" x14ac:dyDescent="0.25">
      <c r="F38" t="s">
        <v>33</v>
      </c>
      <c r="G38" t="s">
        <v>79</v>
      </c>
      <c r="I38" t="str">
        <f t="shared" si="1"/>
        <v>DECLARE odd_toLotAtt07 varchar(100);</v>
      </c>
      <c r="L38" t="str">
        <f t="shared" si="0"/>
        <v>dtd.toLotAtt07,</v>
      </c>
      <c r="O38" t="str">
        <f t="shared" si="2"/>
        <v>odd_toLotAtt07,</v>
      </c>
      <c r="Q38" t="str">
        <f t="shared" si="3"/>
        <v>toLotAtt07,</v>
      </c>
    </row>
    <row r="39" spans="6:17" x14ac:dyDescent="0.25">
      <c r="F39" t="s">
        <v>34</v>
      </c>
      <c r="G39" t="s">
        <v>79</v>
      </c>
      <c r="I39" t="str">
        <f t="shared" si="1"/>
        <v>DECLARE odd_toLotAtt08 varchar(100);</v>
      </c>
      <c r="L39" t="str">
        <f t="shared" si="0"/>
        <v>dtd.toLotAtt08,</v>
      </c>
      <c r="O39" t="str">
        <f t="shared" si="2"/>
        <v>odd_toLotAtt08,</v>
      </c>
      <c r="Q39" t="str">
        <f t="shared" si="3"/>
        <v>toLotAtt08,</v>
      </c>
    </row>
    <row r="40" spans="6:17" x14ac:dyDescent="0.25">
      <c r="F40" t="s">
        <v>35</v>
      </c>
      <c r="G40" t="s">
        <v>79</v>
      </c>
      <c r="I40" t="str">
        <f t="shared" si="1"/>
        <v>DECLARE odd_toLotAtt09 varchar(100);</v>
      </c>
      <c r="L40" t="str">
        <f t="shared" si="0"/>
        <v>dtd.toLotAtt09,</v>
      </c>
      <c r="O40" t="str">
        <f t="shared" si="2"/>
        <v>odd_toLotAtt09,</v>
      </c>
      <c r="Q40" t="str">
        <f t="shared" si="3"/>
        <v>toLotAtt09,</v>
      </c>
    </row>
    <row r="41" spans="6:17" x14ac:dyDescent="0.25">
      <c r="F41" t="s">
        <v>36</v>
      </c>
      <c r="G41" t="s">
        <v>79</v>
      </c>
      <c r="I41" t="str">
        <f t="shared" si="1"/>
        <v>DECLARE odd_toLotAtt10 varchar(100);</v>
      </c>
      <c r="L41" t="str">
        <f t="shared" si="0"/>
        <v>dtd.toLotAtt10,</v>
      </c>
      <c r="O41" t="str">
        <f t="shared" si="2"/>
        <v>odd_toLotAtt10,</v>
      </c>
      <c r="Q41" t="str">
        <f t="shared" si="3"/>
        <v>toLotAtt10,</v>
      </c>
    </row>
    <row r="42" spans="6:17" x14ac:dyDescent="0.25">
      <c r="F42" t="s">
        <v>37</v>
      </c>
      <c r="G42" t="s">
        <v>79</v>
      </c>
      <c r="I42" t="str">
        <f t="shared" si="1"/>
        <v>DECLARE odd_toLotAtt11 varchar(100);</v>
      </c>
      <c r="L42" t="str">
        <f t="shared" si="0"/>
        <v>dtd.toLotAtt11,</v>
      </c>
      <c r="O42" t="str">
        <f t="shared" si="2"/>
        <v>odd_toLotAtt11,</v>
      </c>
      <c r="Q42" t="str">
        <f t="shared" si="3"/>
        <v>toLotAtt11,</v>
      </c>
    </row>
    <row r="43" spans="6:17" x14ac:dyDescent="0.25">
      <c r="F43" t="s">
        <v>38</v>
      </c>
      <c r="G43" t="s">
        <v>79</v>
      </c>
      <c r="I43" t="str">
        <f t="shared" si="1"/>
        <v>DECLARE odd_toLotAtt12 varchar(100);</v>
      </c>
      <c r="L43" t="str">
        <f t="shared" si="0"/>
        <v>dtd.toLotAtt12,</v>
      </c>
      <c r="O43" t="str">
        <f t="shared" si="2"/>
        <v>odd_toLotAtt12,</v>
      </c>
      <c r="Q43" t="str">
        <f t="shared" si="3"/>
        <v>toLotAtt12,</v>
      </c>
    </row>
    <row r="44" spans="6:17" x14ac:dyDescent="0.25">
      <c r="F44" t="s">
        <v>39</v>
      </c>
      <c r="G44" t="s">
        <v>77</v>
      </c>
      <c r="I44" t="str">
        <f t="shared" si="1"/>
        <v>DECLARE odd_gainLossQty decimal(18,8);</v>
      </c>
      <c r="L44" t="str">
        <f t="shared" si="0"/>
        <v>dtd.gainLossQty,</v>
      </c>
      <c r="O44" t="str">
        <f t="shared" si="2"/>
        <v>odd_gainLossQty,</v>
      </c>
      <c r="Q44" t="str">
        <f t="shared" si="3"/>
        <v>gainLossQty,</v>
      </c>
    </row>
    <row r="45" spans="6:17" x14ac:dyDescent="0.25">
      <c r="F45" t="s">
        <v>40</v>
      </c>
      <c r="G45" t="s">
        <v>80</v>
      </c>
      <c r="I45" t="str">
        <f t="shared" si="1"/>
        <v>DECLARE odd_approveTime timestamp;</v>
      </c>
      <c r="L45" t="str">
        <f t="shared" si="0"/>
        <v>dtd.approveTime,</v>
      </c>
      <c r="O45" t="str">
        <f t="shared" si="2"/>
        <v>odd_approveTime,</v>
      </c>
      <c r="Q45" t="str">
        <f t="shared" si="3"/>
        <v>approveTime,</v>
      </c>
    </row>
    <row r="46" spans="6:17" x14ac:dyDescent="0.25">
      <c r="F46" t="s">
        <v>41</v>
      </c>
      <c r="G46" t="s">
        <v>81</v>
      </c>
      <c r="I46" t="str">
        <f t="shared" si="1"/>
        <v>DECLARE odd_approveBy varchar(35);</v>
      </c>
      <c r="L46" t="str">
        <f t="shared" si="0"/>
        <v>dtd.approveBy,</v>
      </c>
      <c r="O46" t="str">
        <f t="shared" si="2"/>
        <v>odd_approveBy,</v>
      </c>
      <c r="Q46" t="str">
        <f t="shared" si="3"/>
        <v>approveBy,</v>
      </c>
    </row>
    <row r="47" spans="6:17" x14ac:dyDescent="0.25">
      <c r="F47" t="s">
        <v>42</v>
      </c>
      <c r="G47" t="s">
        <v>82</v>
      </c>
      <c r="I47" t="str">
        <f t="shared" si="1"/>
        <v>DECLARE odd_noteText mediumtext;</v>
      </c>
      <c r="L47" t="str">
        <f t="shared" si="0"/>
        <v>dtd.noteText,</v>
      </c>
      <c r="O47" t="str">
        <f t="shared" si="2"/>
        <v>odd_noteText,</v>
      </c>
      <c r="Q47" t="str">
        <f t="shared" si="3"/>
        <v>noteText,</v>
      </c>
    </row>
    <row r="48" spans="6:17" x14ac:dyDescent="0.25">
      <c r="F48" t="s">
        <v>43</v>
      </c>
      <c r="G48" t="s">
        <v>83</v>
      </c>
      <c r="I48" t="str">
        <f t="shared" si="1"/>
        <v>DECLARE odd_udf01 varchar(500);</v>
      </c>
      <c r="L48" t="str">
        <f t="shared" si="0"/>
        <v>dtd.udf01,</v>
      </c>
      <c r="O48" t="str">
        <f t="shared" si="2"/>
        <v>odd_udf01,</v>
      </c>
      <c r="Q48" t="str">
        <f t="shared" si="3"/>
        <v>udf01,</v>
      </c>
    </row>
    <row r="49" spans="6:17" x14ac:dyDescent="0.25">
      <c r="F49" t="s">
        <v>44</v>
      </c>
      <c r="G49" t="s">
        <v>83</v>
      </c>
      <c r="I49" t="str">
        <f t="shared" si="1"/>
        <v>DECLARE odd_udf02 varchar(500);</v>
      </c>
      <c r="L49" t="str">
        <f t="shared" si="0"/>
        <v>dtd.udf02,</v>
      </c>
      <c r="O49" t="str">
        <f t="shared" si="2"/>
        <v>odd_udf02,</v>
      </c>
      <c r="Q49" t="str">
        <f t="shared" si="3"/>
        <v>udf02,</v>
      </c>
    </row>
    <row r="50" spans="6:17" x14ac:dyDescent="0.25">
      <c r="F50" t="s">
        <v>45</v>
      </c>
      <c r="G50" t="s">
        <v>83</v>
      </c>
      <c r="I50" t="str">
        <f t="shared" si="1"/>
        <v>DECLARE odd_udf03 varchar(500);</v>
      </c>
      <c r="L50" t="str">
        <f t="shared" si="0"/>
        <v>dtd.udf03,</v>
      </c>
      <c r="O50" t="str">
        <f t="shared" si="2"/>
        <v>odd_udf03,</v>
      </c>
      <c r="Q50" t="str">
        <f t="shared" si="3"/>
        <v>udf03,</v>
      </c>
    </row>
    <row r="51" spans="6:17" x14ac:dyDescent="0.25">
      <c r="F51" t="s">
        <v>46</v>
      </c>
      <c r="G51" t="s">
        <v>83</v>
      </c>
      <c r="I51" t="str">
        <f t="shared" si="1"/>
        <v>DECLARE odd_udf04 varchar(500);</v>
      </c>
      <c r="L51" t="str">
        <f t="shared" si="0"/>
        <v>dtd.udf04,</v>
      </c>
      <c r="O51" t="str">
        <f t="shared" si="2"/>
        <v>odd_udf04,</v>
      </c>
      <c r="Q51" t="str">
        <f t="shared" si="3"/>
        <v>udf04,</v>
      </c>
    </row>
    <row r="52" spans="6:17" x14ac:dyDescent="0.25">
      <c r="F52" t="s">
        <v>47</v>
      </c>
      <c r="G52" t="s">
        <v>83</v>
      </c>
      <c r="I52" t="str">
        <f t="shared" si="1"/>
        <v>DECLARE odd_udf05 varchar(500);</v>
      </c>
      <c r="L52" t="str">
        <f t="shared" si="0"/>
        <v>dtd.udf05,</v>
      </c>
      <c r="O52" t="str">
        <f t="shared" si="2"/>
        <v>odd_udf05,</v>
      </c>
      <c r="Q52" t="str">
        <f t="shared" si="3"/>
        <v>udf05,</v>
      </c>
    </row>
    <row r="53" spans="6:17" x14ac:dyDescent="0.25">
      <c r="F53" t="s">
        <v>48</v>
      </c>
      <c r="G53" t="s">
        <v>71</v>
      </c>
      <c r="I53" t="str">
        <f t="shared" si="1"/>
        <v>DECLARE odd_currentVersion int(11);</v>
      </c>
      <c r="L53" t="str">
        <f t="shared" si="0"/>
        <v>dtd.currentVersion,</v>
      </c>
      <c r="O53" t="str">
        <f t="shared" si="2"/>
        <v>odd_currentVersion,</v>
      </c>
      <c r="Q53" t="str">
        <f t="shared" si="3"/>
        <v>currentVersion,</v>
      </c>
    </row>
    <row r="54" spans="6:17" x14ac:dyDescent="0.25">
      <c r="F54" t="s">
        <v>49</v>
      </c>
      <c r="G54" t="s">
        <v>84</v>
      </c>
      <c r="I54" t="str">
        <f t="shared" si="1"/>
        <v>DECLARE odd_oprSeqFlag varchar(65);</v>
      </c>
      <c r="L54" t="str">
        <f t="shared" si="0"/>
        <v>dtd.oprSeqFlag,</v>
      </c>
      <c r="O54" t="str">
        <f t="shared" si="2"/>
        <v>odd_oprSeqFlag,</v>
      </c>
      <c r="Q54" t="str">
        <f t="shared" si="3"/>
        <v>oprSeqFlag,</v>
      </c>
    </row>
    <row r="55" spans="6:17" x14ac:dyDescent="0.25">
      <c r="F55" t="s">
        <v>50</v>
      </c>
      <c r="G55" t="s">
        <v>85</v>
      </c>
      <c r="I55" t="str">
        <f t="shared" si="1"/>
        <v>DECLARE odd_addWho varchar(40);</v>
      </c>
      <c r="L55" t="str">
        <f t="shared" si="0"/>
        <v>dtd.addWho,</v>
      </c>
      <c r="O55" t="str">
        <f t="shared" si="2"/>
        <v>odd_addWho,</v>
      </c>
      <c r="Q55" t="str">
        <f t="shared" si="3"/>
        <v>addWho,</v>
      </c>
    </row>
    <row r="56" spans="6:17" x14ac:dyDescent="0.25">
      <c r="F56" t="s">
        <v>51</v>
      </c>
      <c r="G56" t="s">
        <v>80</v>
      </c>
      <c r="I56" t="str">
        <f t="shared" si="1"/>
        <v>DECLARE odd_addTime timestamp;</v>
      </c>
      <c r="L56" t="str">
        <f t="shared" si="0"/>
        <v>dtd.addTime,</v>
      </c>
      <c r="O56" t="str">
        <f t="shared" si="2"/>
        <v>odd_addTime,</v>
      </c>
      <c r="Q56" t="str">
        <f t="shared" si="3"/>
        <v>addTime,</v>
      </c>
    </row>
    <row r="57" spans="6:17" x14ac:dyDescent="0.25">
      <c r="F57" t="s">
        <v>52</v>
      </c>
      <c r="G57" t="s">
        <v>85</v>
      </c>
      <c r="I57" t="str">
        <f t="shared" si="1"/>
        <v>DECLARE odd_editWho varchar(40);</v>
      </c>
      <c r="L57" t="str">
        <f t="shared" si="0"/>
        <v>dtd.editWho,</v>
      </c>
      <c r="O57" t="str">
        <f t="shared" si="2"/>
        <v>odd_editWho,</v>
      </c>
      <c r="Q57" t="str">
        <f t="shared" si="3"/>
        <v>editWho,</v>
      </c>
    </row>
    <row r="58" spans="6:17" x14ac:dyDescent="0.25">
      <c r="F58" t="s">
        <v>53</v>
      </c>
      <c r="G58" t="s">
        <v>80</v>
      </c>
      <c r="I58" t="str">
        <f t="shared" si="1"/>
        <v>DECLARE odd_editTime timestamp;</v>
      </c>
      <c r="L58" t="str">
        <f t="shared" si="0"/>
        <v>dtd.editTime,</v>
      </c>
      <c r="O58" t="str">
        <f t="shared" si="2"/>
        <v>odd_editTime,</v>
      </c>
      <c r="Q58" t="str">
        <f t="shared" si="3"/>
        <v>editTime,</v>
      </c>
    </row>
    <row r="59" spans="6:17" x14ac:dyDescent="0.25">
      <c r="F59" t="s">
        <v>54</v>
      </c>
      <c r="G59" t="s">
        <v>79</v>
      </c>
      <c r="I59" t="str">
        <f t="shared" si="1"/>
        <v>DECLARE odd_toLotAtt13 varchar(100);</v>
      </c>
      <c r="L59" t="str">
        <f t="shared" si="0"/>
        <v>dtd.toLotAtt13,</v>
      </c>
      <c r="O59" t="str">
        <f t="shared" si="2"/>
        <v>odd_toLotAtt13,</v>
      </c>
      <c r="Q59" t="str">
        <f t="shared" si="3"/>
        <v>toLotAtt13,</v>
      </c>
    </row>
    <row r="60" spans="6:17" x14ac:dyDescent="0.25">
      <c r="F60" t="s">
        <v>55</v>
      </c>
      <c r="G60" t="s">
        <v>79</v>
      </c>
      <c r="I60" t="str">
        <f t="shared" si="1"/>
        <v>DECLARE odd_toLotAtt14 varchar(100);</v>
      </c>
      <c r="L60" t="str">
        <f t="shared" si="0"/>
        <v>dtd.toLotAtt14,</v>
      </c>
      <c r="O60" t="str">
        <f t="shared" si="2"/>
        <v>odd_toLotAtt14,</v>
      </c>
      <c r="Q60" t="str">
        <f t="shared" si="3"/>
        <v>toLotAtt14,</v>
      </c>
    </row>
    <row r="61" spans="6:17" x14ac:dyDescent="0.25">
      <c r="F61" t="s">
        <v>56</v>
      </c>
      <c r="G61" t="s">
        <v>79</v>
      </c>
      <c r="I61" t="str">
        <f t="shared" si="1"/>
        <v>DECLARE odd_toLotAtt15 varchar(100);</v>
      </c>
      <c r="L61" t="str">
        <f t="shared" si="0"/>
        <v>dtd.toLotAtt15,</v>
      </c>
      <c r="O61" t="str">
        <f t="shared" si="2"/>
        <v>odd_toLotAtt15,</v>
      </c>
      <c r="Q61" t="str">
        <f t="shared" si="3"/>
        <v>toLotAtt15,</v>
      </c>
    </row>
    <row r="62" spans="6:17" x14ac:dyDescent="0.25">
      <c r="F62" t="s">
        <v>57</v>
      </c>
      <c r="G62" t="s">
        <v>79</v>
      </c>
      <c r="I62" t="str">
        <f t="shared" si="1"/>
        <v>DECLARE odd_toLotAtt16 varchar(100);</v>
      </c>
      <c r="L62" t="str">
        <f t="shared" si="0"/>
        <v>dtd.toLotAtt16,</v>
      </c>
      <c r="O62" t="str">
        <f t="shared" si="2"/>
        <v>odd_toLotAtt16,</v>
      </c>
      <c r="Q62" t="str">
        <f t="shared" si="3"/>
        <v>toLotAtt16,</v>
      </c>
    </row>
    <row r="63" spans="6:17" x14ac:dyDescent="0.25">
      <c r="F63" t="s">
        <v>58</v>
      </c>
      <c r="G63" t="s">
        <v>79</v>
      </c>
      <c r="I63" t="str">
        <f t="shared" si="1"/>
        <v>DECLARE odd_toLotAtt17 varchar(100);</v>
      </c>
      <c r="L63" t="str">
        <f t="shared" si="0"/>
        <v>dtd.toLotAtt17,</v>
      </c>
      <c r="O63" t="str">
        <f t="shared" si="2"/>
        <v>odd_toLotAtt17,</v>
      </c>
      <c r="Q63" t="str">
        <f t="shared" si="3"/>
        <v>toLotAtt17,</v>
      </c>
    </row>
    <row r="64" spans="6:17" x14ac:dyDescent="0.25">
      <c r="F64" t="s">
        <v>59</v>
      </c>
      <c r="G64" t="s">
        <v>79</v>
      </c>
      <c r="I64" t="str">
        <f t="shared" si="1"/>
        <v>DECLARE odd_toLotAtt18 varchar(100);</v>
      </c>
      <c r="L64" t="str">
        <f t="shared" si="0"/>
        <v>dtd.toLotAtt18,</v>
      </c>
      <c r="O64" t="str">
        <f t="shared" si="2"/>
        <v>odd_toLotAtt18,</v>
      </c>
      <c r="Q64" t="str">
        <f t="shared" si="3"/>
        <v>toLotAtt18,</v>
      </c>
    </row>
    <row r="65" spans="6:17" x14ac:dyDescent="0.25">
      <c r="F65" t="s">
        <v>60</v>
      </c>
      <c r="G65" t="s">
        <v>79</v>
      </c>
      <c r="I65" t="str">
        <f t="shared" si="1"/>
        <v>DECLARE odd_toLotAtt19 varchar(100);</v>
      </c>
      <c r="L65" t="str">
        <f t="shared" si="0"/>
        <v>dtd.toLotAtt19,</v>
      </c>
      <c r="O65" t="str">
        <f t="shared" si="2"/>
        <v>odd_toLotAtt19,</v>
      </c>
      <c r="Q65" t="str">
        <f t="shared" si="3"/>
        <v>toLotAtt19,</v>
      </c>
    </row>
    <row r="66" spans="6:17" x14ac:dyDescent="0.25">
      <c r="F66" t="s">
        <v>61</v>
      </c>
      <c r="G66" t="s">
        <v>79</v>
      </c>
      <c r="I66" t="str">
        <f t="shared" si="1"/>
        <v>DECLARE odd_toLotAtt20 varchar(100);</v>
      </c>
      <c r="L66" t="str">
        <f t="shared" si="0"/>
        <v>dtd.toLotAtt20,</v>
      </c>
      <c r="O66" t="str">
        <f t="shared" si="2"/>
        <v>odd_toLotAtt20,</v>
      </c>
      <c r="Q66" t="str">
        <f t="shared" si="3"/>
        <v>toLotAtt20,</v>
      </c>
    </row>
    <row r="67" spans="6:17" x14ac:dyDescent="0.25">
      <c r="F67" t="s">
        <v>62</v>
      </c>
      <c r="G67" t="s">
        <v>79</v>
      </c>
      <c r="I67" t="str">
        <f t="shared" si="1"/>
        <v>DECLARE odd_toLotAtt21 varchar(100);</v>
      </c>
      <c r="L67" t="str">
        <f t="shared" si="0"/>
        <v>dtd.toLotAtt21,</v>
      </c>
      <c r="O67" t="str">
        <f t="shared" si="2"/>
        <v>odd_toLotAtt21,</v>
      </c>
      <c r="Q67" t="str">
        <f t="shared" si="3"/>
        <v>toLotAtt21,</v>
      </c>
    </row>
    <row r="68" spans="6:17" x14ac:dyDescent="0.25">
      <c r="F68" t="s">
        <v>63</v>
      </c>
      <c r="G68" t="s">
        <v>79</v>
      </c>
      <c r="I68" t="str">
        <f t="shared" si="1"/>
        <v>DECLARE odd_toLotAtt22 varchar(100);</v>
      </c>
      <c r="L68" t="str">
        <f t="shared" si="0"/>
        <v>dtd.toLotAtt22,</v>
      </c>
      <c r="O68" t="str">
        <f t="shared" si="2"/>
        <v>odd_toLotAtt22,</v>
      </c>
      <c r="Q68" t="str">
        <f t="shared" si="3"/>
        <v>toLotAtt22,</v>
      </c>
    </row>
    <row r="69" spans="6:17" x14ac:dyDescent="0.25">
      <c r="F69" t="s">
        <v>64</v>
      </c>
      <c r="G69" t="s">
        <v>79</v>
      </c>
      <c r="I69" t="str">
        <f t="shared" si="1"/>
        <v>DECLARE odd_toLotAtt23 varchar(100);</v>
      </c>
      <c r="L69" t="str">
        <f t="shared" ref="L69:L73" si="4">"dtd."&amp;F69&amp;","</f>
        <v>dtd.toLotAtt23,</v>
      </c>
      <c r="O69" t="str">
        <f t="shared" si="2"/>
        <v>odd_toLotAtt23,</v>
      </c>
      <c r="Q69" t="str">
        <f t="shared" si="3"/>
        <v>toLotAtt23,</v>
      </c>
    </row>
    <row r="70" spans="6:17" x14ac:dyDescent="0.25">
      <c r="F70" t="s">
        <v>65</v>
      </c>
      <c r="G70" t="s">
        <v>79</v>
      </c>
      <c r="I70" t="str">
        <f t="shared" ref="I70:I76" si="5">"DECLARE odd_" &amp;F70 &amp; " " &amp; G70 &amp; ";"</f>
        <v>DECLARE odd_toLotAtt24 varchar(100);</v>
      </c>
      <c r="L70" t="str">
        <f t="shared" si="4"/>
        <v>dtd.toLotAtt24,</v>
      </c>
      <c r="O70" t="str">
        <f t="shared" ref="O70:O74" si="6">"odd_" &amp;F70 &amp; ","</f>
        <v>odd_toLotAtt24,</v>
      </c>
      <c r="Q70" t="str">
        <f t="shared" ref="Q70:Q130" si="7">F70&amp;","</f>
        <v>toLotAtt24,</v>
      </c>
    </row>
    <row r="71" spans="6:17" x14ac:dyDescent="0.25">
      <c r="F71" t="s">
        <v>66</v>
      </c>
      <c r="G71" t="s">
        <v>70</v>
      </c>
      <c r="I71" t="str">
        <f t="shared" si="5"/>
        <v>DECLARE odd_sourceId varchar(20);</v>
      </c>
      <c r="L71" t="str">
        <f t="shared" si="4"/>
        <v>dtd.sourceId,</v>
      </c>
      <c r="O71" t="str">
        <f t="shared" si="6"/>
        <v>odd_sourceId,</v>
      </c>
      <c r="Q71" t="str">
        <f t="shared" si="7"/>
        <v>sourceId,</v>
      </c>
    </row>
    <row r="72" spans="6:17" x14ac:dyDescent="0.25">
      <c r="F72" t="s">
        <v>67</v>
      </c>
      <c r="G72" t="s">
        <v>86</v>
      </c>
      <c r="I72" t="str">
        <f t="shared" si="5"/>
        <v>DECLARE odd_reasonCode varchar(15);</v>
      </c>
      <c r="L72" t="str">
        <f t="shared" si="4"/>
        <v>dtd.reasonCode,</v>
      </c>
      <c r="O72" t="str">
        <f t="shared" si="6"/>
        <v>odd_reasonCode,</v>
      </c>
      <c r="Q72" t="str">
        <f t="shared" si="7"/>
        <v>reasonCode,</v>
      </c>
    </row>
    <row r="73" spans="6:17" x14ac:dyDescent="0.25">
      <c r="F73" t="s">
        <v>68</v>
      </c>
      <c r="G73" t="s">
        <v>79</v>
      </c>
      <c r="I73" t="str">
        <f t="shared" si="5"/>
        <v>DECLARE odd_reason varchar(100);</v>
      </c>
      <c r="L73" t="str">
        <f t="shared" si="4"/>
        <v>dtd.reason,</v>
      </c>
      <c r="O73" t="str">
        <f t="shared" si="6"/>
        <v>odd_reason,</v>
      </c>
      <c r="Q73" t="str">
        <f t="shared" si="7"/>
        <v>reason,</v>
      </c>
    </row>
    <row r="74" spans="6:17" x14ac:dyDescent="0.25">
      <c r="F74" t="s">
        <v>69</v>
      </c>
      <c r="G74" t="s">
        <v>73</v>
      </c>
      <c r="I74" t="str">
        <f t="shared" si="5"/>
        <v>DECLARE odd_toMuId varchar(30);</v>
      </c>
      <c r="L74" t="str">
        <f>"dtd."&amp;F74&amp;","</f>
        <v>dtd.toMuId,</v>
      </c>
      <c r="O74" t="str">
        <f t="shared" si="6"/>
        <v>odd_toMuId,</v>
      </c>
      <c r="Q74" t="str">
        <f t="shared" si="7"/>
        <v>toMuId,</v>
      </c>
    </row>
    <row r="75" spans="6:17" x14ac:dyDescent="0.25">
      <c r="Q75" t="str">
        <f t="shared" si="7"/>
        <v>,</v>
      </c>
    </row>
    <row r="76" spans="6:17" x14ac:dyDescent="0.25">
      <c r="F76" t="s">
        <v>0</v>
      </c>
      <c r="G76" t="s">
        <v>70</v>
      </c>
      <c r="I76" t="str">
        <f>"DECLARE odh_" &amp;F76 &amp; " " &amp; G76 &amp; ";"</f>
        <v>DECLARE odh_organizationId varchar(20);</v>
      </c>
      <c r="L76" t="str">
        <f>"dth."&amp;F76&amp;","</f>
        <v>dth.organizationId,</v>
      </c>
      <c r="O76" t="str">
        <f>"odh_" &amp;F76 &amp; ","</f>
        <v>odh_organizationId,</v>
      </c>
      <c r="Q76" t="str">
        <f t="shared" si="7"/>
        <v>organizationId,</v>
      </c>
    </row>
    <row r="77" spans="6:17" x14ac:dyDescent="0.25">
      <c r="F77" t="s">
        <v>1</v>
      </c>
      <c r="G77" t="s">
        <v>70</v>
      </c>
      <c r="I77" t="str">
        <f t="shared" ref="I77:I126" si="8">"DECLARE odh_" &amp;F77 &amp; " " &amp; G77 &amp; ";"</f>
        <v>DECLARE odh_warehouseId varchar(20);</v>
      </c>
      <c r="L77" t="str">
        <f t="shared" ref="L77:L126" si="9">"dth."&amp;F77&amp;","</f>
        <v>dth.warehouseId,</v>
      </c>
      <c r="O77" t="str">
        <f t="shared" ref="O77:O126" si="10">"odh_" &amp;F77 &amp; ","</f>
        <v>odh_warehouseId,</v>
      </c>
      <c r="Q77" t="str">
        <f t="shared" si="7"/>
        <v>warehouseId,</v>
      </c>
    </row>
    <row r="78" spans="6:17" x14ac:dyDescent="0.25">
      <c r="F78" t="s">
        <v>2</v>
      </c>
      <c r="G78" t="s">
        <v>70</v>
      </c>
      <c r="I78" t="str">
        <f t="shared" si="8"/>
        <v>DECLARE odh_tdocNo varchar(20);</v>
      </c>
      <c r="L78" t="str">
        <f t="shared" si="9"/>
        <v>dth.tdocNo,</v>
      </c>
      <c r="O78" t="str">
        <f t="shared" si="10"/>
        <v>odh_tdocNo,</v>
      </c>
      <c r="Q78" t="str">
        <f t="shared" si="7"/>
        <v>tdocNo,</v>
      </c>
    </row>
    <row r="79" spans="6:17" x14ac:dyDescent="0.25">
      <c r="F79" t="s">
        <v>87</v>
      </c>
      <c r="G79" t="s">
        <v>70</v>
      </c>
      <c r="I79" t="str">
        <f t="shared" si="8"/>
        <v>DECLARE odh_tdocType varchar(20);</v>
      </c>
      <c r="L79" t="str">
        <f t="shared" si="9"/>
        <v>dth.tdocType,</v>
      </c>
      <c r="O79" t="str">
        <f t="shared" si="10"/>
        <v>odh_tdocType,</v>
      </c>
      <c r="Q79" t="str">
        <f t="shared" si="7"/>
        <v>tdocType,</v>
      </c>
    </row>
    <row r="80" spans="6:17" x14ac:dyDescent="0.25">
      <c r="F80" t="s">
        <v>88</v>
      </c>
      <c r="G80" t="s">
        <v>72</v>
      </c>
      <c r="I80" t="str">
        <f t="shared" si="8"/>
        <v>DECLARE odh_status varchar(2);</v>
      </c>
      <c r="L80" t="str">
        <f t="shared" si="9"/>
        <v>dth.status,</v>
      </c>
      <c r="O80" t="str">
        <f t="shared" si="10"/>
        <v>odh_status,</v>
      </c>
      <c r="Q80" t="str">
        <f t="shared" si="7"/>
        <v>status,</v>
      </c>
    </row>
    <row r="81" spans="6:17" x14ac:dyDescent="0.25">
      <c r="F81" t="s">
        <v>89</v>
      </c>
      <c r="G81" t="s">
        <v>73</v>
      </c>
      <c r="I81" t="str">
        <f t="shared" si="8"/>
        <v>DECLARE odh_customerId varchar(30);</v>
      </c>
      <c r="L81" t="str">
        <f t="shared" si="9"/>
        <v>dth.customerId,</v>
      </c>
      <c r="O81" t="str">
        <f t="shared" si="10"/>
        <v>odh_customerId,</v>
      </c>
      <c r="Q81" t="str">
        <f t="shared" si="7"/>
        <v>customerId,</v>
      </c>
    </row>
    <row r="82" spans="6:17" x14ac:dyDescent="0.25">
      <c r="F82" t="s">
        <v>90</v>
      </c>
      <c r="G82" t="s">
        <v>80</v>
      </c>
      <c r="I82" t="str">
        <f t="shared" si="8"/>
        <v>DECLARE odh_tdocCreationTime timestamp;</v>
      </c>
      <c r="L82" t="str">
        <f t="shared" si="9"/>
        <v>dth.tdocCreationTime,</v>
      </c>
      <c r="O82" t="str">
        <f t="shared" si="10"/>
        <v>odh_tdocCreationTime,</v>
      </c>
      <c r="Q82" t="str">
        <f t="shared" si="7"/>
        <v>tdocCreationTime,</v>
      </c>
    </row>
    <row r="83" spans="6:17" x14ac:dyDescent="0.25">
      <c r="F83" t="s">
        <v>91</v>
      </c>
      <c r="G83" t="s">
        <v>80</v>
      </c>
      <c r="I83" t="str">
        <f t="shared" si="8"/>
        <v>DECLARE odh_transferTime timestamp;</v>
      </c>
      <c r="L83" t="str">
        <f t="shared" si="9"/>
        <v>dth.transferTime,</v>
      </c>
      <c r="O83" t="str">
        <f t="shared" si="10"/>
        <v>odh_transferTime,</v>
      </c>
      <c r="Q83" t="str">
        <f t="shared" si="7"/>
        <v>transferTime,</v>
      </c>
    </row>
    <row r="84" spans="6:17" x14ac:dyDescent="0.25">
      <c r="F84" t="s">
        <v>67</v>
      </c>
      <c r="G84" t="s">
        <v>86</v>
      </c>
      <c r="I84" t="str">
        <f t="shared" si="8"/>
        <v>DECLARE odh_reasonCode varchar(15);</v>
      </c>
      <c r="L84" t="str">
        <f t="shared" si="9"/>
        <v>dth.reasonCode,</v>
      </c>
      <c r="O84" t="str">
        <f t="shared" si="10"/>
        <v>odh_reasonCode,</v>
      </c>
      <c r="Q84" t="str">
        <f t="shared" si="7"/>
        <v>reasonCode,</v>
      </c>
    </row>
    <row r="85" spans="6:17" x14ac:dyDescent="0.25">
      <c r="F85" t="s">
        <v>68</v>
      </c>
      <c r="G85" t="s">
        <v>79</v>
      </c>
      <c r="I85" t="str">
        <f t="shared" si="8"/>
        <v>DECLARE odh_reason varchar(100);</v>
      </c>
      <c r="L85" t="str">
        <f t="shared" si="9"/>
        <v>dth.reason,</v>
      </c>
      <c r="O85" t="str">
        <f t="shared" si="10"/>
        <v>odh_reason,</v>
      </c>
      <c r="Q85" t="str">
        <f t="shared" si="7"/>
        <v>reason,</v>
      </c>
    </row>
    <row r="86" spans="6:17" x14ac:dyDescent="0.25">
      <c r="F86" t="s">
        <v>92</v>
      </c>
      <c r="G86" t="s">
        <v>70</v>
      </c>
      <c r="I86" t="str">
        <f t="shared" si="8"/>
        <v>DECLARE odh_userDefineA varchar(20);</v>
      </c>
      <c r="L86" t="str">
        <f t="shared" si="9"/>
        <v>dth.userDefineA,</v>
      </c>
      <c r="O86" t="str">
        <f t="shared" si="10"/>
        <v>odh_userDefineA,</v>
      </c>
      <c r="Q86" t="str">
        <f t="shared" si="7"/>
        <v>userDefineA,</v>
      </c>
    </row>
    <row r="87" spans="6:17" x14ac:dyDescent="0.25">
      <c r="F87" t="s">
        <v>93</v>
      </c>
      <c r="G87" t="s">
        <v>70</v>
      </c>
      <c r="I87" t="str">
        <f t="shared" si="8"/>
        <v>DECLARE odh_userDefineB varchar(20);</v>
      </c>
      <c r="L87" t="str">
        <f t="shared" si="9"/>
        <v>dth.userDefineB,</v>
      </c>
      <c r="O87" t="str">
        <f t="shared" si="10"/>
        <v>odh_userDefineB,</v>
      </c>
      <c r="Q87" t="str">
        <f t="shared" si="7"/>
        <v>userDefineB,</v>
      </c>
    </row>
    <row r="88" spans="6:17" x14ac:dyDescent="0.25">
      <c r="F88" t="s">
        <v>94</v>
      </c>
      <c r="G88" t="s">
        <v>75</v>
      </c>
      <c r="I88" t="str">
        <f t="shared" si="8"/>
        <v>DECLARE odh_source varchar(10);</v>
      </c>
      <c r="L88" t="str">
        <f t="shared" si="9"/>
        <v>dth.source,</v>
      </c>
      <c r="O88" t="str">
        <f t="shared" si="10"/>
        <v>odh_source,</v>
      </c>
      <c r="Q88" t="str">
        <f t="shared" si="7"/>
        <v>source,</v>
      </c>
    </row>
    <row r="89" spans="6:17" x14ac:dyDescent="0.25">
      <c r="F89" t="s">
        <v>95</v>
      </c>
      <c r="G89" t="s">
        <v>70</v>
      </c>
      <c r="I89" t="str">
        <f t="shared" si="8"/>
        <v>DECLARE odh_sourceNo varchar(20);</v>
      </c>
      <c r="L89" t="str">
        <f t="shared" si="9"/>
        <v>dth.sourceNo,</v>
      </c>
      <c r="O89" t="str">
        <f t="shared" si="10"/>
        <v>odh_sourceNo,</v>
      </c>
      <c r="Q89" t="str">
        <f t="shared" si="7"/>
        <v>sourceNo,</v>
      </c>
    </row>
    <row r="90" spans="6:17" x14ac:dyDescent="0.25">
      <c r="F90" t="s">
        <v>40</v>
      </c>
      <c r="G90" t="s">
        <v>80</v>
      </c>
      <c r="I90" t="str">
        <f t="shared" si="8"/>
        <v>DECLARE odh_approveTime timestamp;</v>
      </c>
      <c r="L90" t="str">
        <f t="shared" si="9"/>
        <v>dth.approveTime,</v>
      </c>
      <c r="O90" t="str">
        <f t="shared" si="10"/>
        <v>odh_approveTime,</v>
      </c>
      <c r="Q90" t="str">
        <f t="shared" si="7"/>
        <v>approveTime,</v>
      </c>
    </row>
    <row r="91" spans="6:17" x14ac:dyDescent="0.25">
      <c r="F91" t="s">
        <v>41</v>
      </c>
      <c r="G91" t="s">
        <v>81</v>
      </c>
      <c r="I91" t="str">
        <f t="shared" si="8"/>
        <v>DECLARE odh_approveBy varchar(35);</v>
      </c>
      <c r="L91" t="str">
        <f t="shared" si="9"/>
        <v>dth.approveBy,</v>
      </c>
      <c r="O91" t="str">
        <f t="shared" si="10"/>
        <v>odh_approveBy,</v>
      </c>
      <c r="Q91" t="str">
        <f t="shared" si="7"/>
        <v>approveBy,</v>
      </c>
    </row>
    <row r="92" spans="6:17" x14ac:dyDescent="0.25">
      <c r="F92" t="s">
        <v>42</v>
      </c>
      <c r="G92" t="s">
        <v>82</v>
      </c>
      <c r="I92" t="str">
        <f t="shared" si="8"/>
        <v>DECLARE odh_noteText mediumtext;</v>
      </c>
      <c r="L92" t="str">
        <f t="shared" si="9"/>
        <v>dth.noteText,</v>
      </c>
      <c r="O92" t="str">
        <f t="shared" si="10"/>
        <v>odh_noteText,</v>
      </c>
      <c r="Q92" t="str">
        <f t="shared" si="7"/>
        <v>noteText,</v>
      </c>
    </row>
    <row r="93" spans="6:17" x14ac:dyDescent="0.25">
      <c r="F93" t="s">
        <v>43</v>
      </c>
      <c r="G93" t="s">
        <v>83</v>
      </c>
      <c r="I93" t="str">
        <f t="shared" si="8"/>
        <v>DECLARE odh_udf01 varchar(500);</v>
      </c>
      <c r="L93" t="str">
        <f t="shared" si="9"/>
        <v>dth.udf01,</v>
      </c>
      <c r="O93" t="str">
        <f t="shared" si="10"/>
        <v>odh_udf01,</v>
      </c>
      <c r="Q93" t="str">
        <f t="shared" si="7"/>
        <v>udf01,</v>
      </c>
    </row>
    <row r="94" spans="6:17" x14ac:dyDescent="0.25">
      <c r="F94" t="s">
        <v>44</v>
      </c>
      <c r="G94" t="s">
        <v>83</v>
      </c>
      <c r="I94" t="str">
        <f t="shared" si="8"/>
        <v>DECLARE odh_udf02 varchar(500);</v>
      </c>
      <c r="L94" t="str">
        <f t="shared" si="9"/>
        <v>dth.udf02,</v>
      </c>
      <c r="O94" t="str">
        <f t="shared" si="10"/>
        <v>odh_udf02,</v>
      </c>
      <c r="Q94" t="str">
        <f t="shared" si="7"/>
        <v>udf02,</v>
      </c>
    </row>
    <row r="95" spans="6:17" x14ac:dyDescent="0.25">
      <c r="F95" t="s">
        <v>45</v>
      </c>
      <c r="G95" t="s">
        <v>83</v>
      </c>
      <c r="I95" t="str">
        <f t="shared" si="8"/>
        <v>DECLARE odh_udf03 varchar(500);</v>
      </c>
      <c r="L95" t="str">
        <f t="shared" si="9"/>
        <v>dth.udf03,</v>
      </c>
      <c r="O95" t="str">
        <f t="shared" si="10"/>
        <v>odh_udf03,</v>
      </c>
      <c r="Q95" t="str">
        <f t="shared" si="7"/>
        <v>udf03,</v>
      </c>
    </row>
    <row r="96" spans="6:17" x14ac:dyDescent="0.25">
      <c r="F96" t="s">
        <v>46</v>
      </c>
      <c r="G96" t="s">
        <v>83</v>
      </c>
      <c r="I96" t="str">
        <f t="shared" si="8"/>
        <v>DECLARE odh_udf04 varchar(500);</v>
      </c>
      <c r="L96" t="str">
        <f t="shared" si="9"/>
        <v>dth.udf04,</v>
      </c>
      <c r="O96" t="str">
        <f t="shared" si="10"/>
        <v>odh_udf04,</v>
      </c>
      <c r="Q96" t="str">
        <f t="shared" si="7"/>
        <v>udf04,</v>
      </c>
    </row>
    <row r="97" spans="6:17" x14ac:dyDescent="0.25">
      <c r="F97" t="s">
        <v>47</v>
      </c>
      <c r="G97" t="s">
        <v>83</v>
      </c>
      <c r="I97" t="str">
        <f t="shared" si="8"/>
        <v>DECLARE odh_udf05 varchar(500);</v>
      </c>
      <c r="L97" t="str">
        <f t="shared" si="9"/>
        <v>dth.udf05,</v>
      </c>
      <c r="O97" t="str">
        <f t="shared" si="10"/>
        <v>odh_udf05,</v>
      </c>
      <c r="Q97" t="str">
        <f t="shared" si="7"/>
        <v>udf05,</v>
      </c>
    </row>
    <row r="98" spans="6:17" x14ac:dyDescent="0.25">
      <c r="F98" t="s">
        <v>48</v>
      </c>
      <c r="G98" t="s">
        <v>71</v>
      </c>
      <c r="I98" t="str">
        <f t="shared" si="8"/>
        <v>DECLARE odh_currentVersion int(11);</v>
      </c>
      <c r="L98" t="str">
        <f t="shared" si="9"/>
        <v>dth.currentVersion,</v>
      </c>
      <c r="O98" t="str">
        <f t="shared" si="10"/>
        <v>odh_currentVersion,</v>
      </c>
      <c r="Q98" t="str">
        <f t="shared" si="7"/>
        <v>currentVersion,</v>
      </c>
    </row>
    <row r="99" spans="6:17" x14ac:dyDescent="0.25">
      <c r="F99" t="s">
        <v>49</v>
      </c>
      <c r="G99" t="s">
        <v>84</v>
      </c>
      <c r="I99" t="str">
        <f t="shared" si="8"/>
        <v>DECLARE odh_oprSeqFlag varchar(65);</v>
      </c>
      <c r="L99" t="str">
        <f t="shared" si="9"/>
        <v>dth.oprSeqFlag,</v>
      </c>
      <c r="O99" t="str">
        <f t="shared" si="10"/>
        <v>odh_oprSeqFlag,</v>
      </c>
      <c r="Q99" t="str">
        <f t="shared" si="7"/>
        <v>oprSeqFlag,</v>
      </c>
    </row>
    <row r="100" spans="6:17" x14ac:dyDescent="0.25">
      <c r="F100" t="s">
        <v>50</v>
      </c>
      <c r="G100" t="s">
        <v>85</v>
      </c>
      <c r="I100" t="str">
        <f t="shared" si="8"/>
        <v>DECLARE odh_addWho varchar(40);</v>
      </c>
      <c r="L100" t="str">
        <f t="shared" si="9"/>
        <v>dth.addWho,</v>
      </c>
      <c r="O100" t="str">
        <f t="shared" si="10"/>
        <v>odh_addWho,</v>
      </c>
      <c r="Q100" t="str">
        <f t="shared" si="7"/>
        <v>addWho,</v>
      </c>
    </row>
    <row r="101" spans="6:17" x14ac:dyDescent="0.25">
      <c r="F101" t="s">
        <v>51</v>
      </c>
      <c r="G101" t="s">
        <v>80</v>
      </c>
      <c r="I101" t="str">
        <f t="shared" si="8"/>
        <v>DECLARE odh_addTime timestamp;</v>
      </c>
      <c r="L101" t="str">
        <f t="shared" si="9"/>
        <v>dth.addTime,</v>
      </c>
      <c r="O101" t="str">
        <f t="shared" si="10"/>
        <v>odh_addTime,</v>
      </c>
      <c r="Q101" t="str">
        <f t="shared" si="7"/>
        <v>addTime,</v>
      </c>
    </row>
    <row r="102" spans="6:17" x14ac:dyDescent="0.25">
      <c r="F102" t="s">
        <v>52</v>
      </c>
      <c r="G102" t="s">
        <v>85</v>
      </c>
      <c r="I102" t="str">
        <f t="shared" si="8"/>
        <v>DECLARE odh_editWho varchar(40);</v>
      </c>
      <c r="L102" t="str">
        <f t="shared" si="9"/>
        <v>dth.editWho,</v>
      </c>
      <c r="O102" t="str">
        <f t="shared" si="10"/>
        <v>odh_editWho,</v>
      </c>
      <c r="Q102" t="str">
        <f t="shared" si="7"/>
        <v>editWho,</v>
      </c>
    </row>
    <row r="103" spans="6:17" x14ac:dyDescent="0.25">
      <c r="F103" t="s">
        <v>53</v>
      </c>
      <c r="G103" t="s">
        <v>80</v>
      </c>
      <c r="I103" t="str">
        <f t="shared" si="8"/>
        <v>DECLARE odh_editTime timestamp;</v>
      </c>
      <c r="L103" t="str">
        <f t="shared" si="9"/>
        <v>dth.editTime,</v>
      </c>
      <c r="O103" t="str">
        <f t="shared" si="10"/>
        <v>odh_editTime,</v>
      </c>
      <c r="Q103" t="str">
        <f t="shared" si="7"/>
        <v>editTime,</v>
      </c>
    </row>
    <row r="104" spans="6:17" x14ac:dyDescent="0.25">
      <c r="F104" t="s">
        <v>96</v>
      </c>
      <c r="G104" t="s">
        <v>119</v>
      </c>
      <c r="I104" t="str">
        <f t="shared" si="8"/>
        <v>DECLARE odh_hedi01 varchar(200);</v>
      </c>
      <c r="L104" t="str">
        <f t="shared" si="9"/>
        <v>dth.hedi01,</v>
      </c>
      <c r="O104" t="str">
        <f t="shared" si="10"/>
        <v>odh_hedi01,</v>
      </c>
      <c r="Q104" t="str">
        <f t="shared" si="7"/>
        <v>hedi01,</v>
      </c>
    </row>
    <row r="105" spans="6:17" x14ac:dyDescent="0.25">
      <c r="F105" t="s">
        <v>97</v>
      </c>
      <c r="G105" t="s">
        <v>119</v>
      </c>
      <c r="I105" t="str">
        <f t="shared" si="8"/>
        <v>DECLARE odh_hedi02 varchar(200);</v>
      </c>
      <c r="L105" t="str">
        <f t="shared" si="9"/>
        <v>dth.hedi02,</v>
      </c>
      <c r="O105" t="str">
        <f t="shared" si="10"/>
        <v>odh_hedi02,</v>
      </c>
      <c r="Q105" t="str">
        <f t="shared" si="7"/>
        <v>hedi02,</v>
      </c>
    </row>
    <row r="106" spans="6:17" x14ac:dyDescent="0.25">
      <c r="F106" t="s">
        <v>98</v>
      </c>
      <c r="G106" t="s">
        <v>119</v>
      </c>
      <c r="I106" t="str">
        <f t="shared" si="8"/>
        <v>DECLARE odh_hedi03 varchar(200);</v>
      </c>
      <c r="L106" t="str">
        <f t="shared" si="9"/>
        <v>dth.hedi03,</v>
      </c>
      <c r="O106" t="str">
        <f t="shared" si="10"/>
        <v>odh_hedi03,</v>
      </c>
      <c r="Q106" t="str">
        <f t="shared" si="7"/>
        <v>hedi03,</v>
      </c>
    </row>
    <row r="107" spans="6:17" x14ac:dyDescent="0.25">
      <c r="F107" t="s">
        <v>99</v>
      </c>
      <c r="G107" t="s">
        <v>119</v>
      </c>
      <c r="I107" t="str">
        <f t="shared" si="8"/>
        <v>DECLARE odh_hedi04 varchar(200);</v>
      </c>
      <c r="L107" t="str">
        <f t="shared" si="9"/>
        <v>dth.hedi04,</v>
      </c>
      <c r="O107" t="str">
        <f t="shared" si="10"/>
        <v>odh_hedi04,</v>
      </c>
      <c r="Q107" t="str">
        <f t="shared" si="7"/>
        <v>hedi04,</v>
      </c>
    </row>
    <row r="108" spans="6:17" x14ac:dyDescent="0.25">
      <c r="F108" t="s">
        <v>100</v>
      </c>
      <c r="G108" t="s">
        <v>119</v>
      </c>
      <c r="I108" t="str">
        <f t="shared" si="8"/>
        <v>DECLARE odh_hedi05 varchar(200);</v>
      </c>
      <c r="L108" t="str">
        <f t="shared" si="9"/>
        <v>dth.hedi05,</v>
      </c>
      <c r="O108" t="str">
        <f t="shared" si="10"/>
        <v>odh_hedi05,</v>
      </c>
      <c r="Q108" t="str">
        <f t="shared" si="7"/>
        <v>hedi05,</v>
      </c>
    </row>
    <row r="109" spans="6:17" x14ac:dyDescent="0.25">
      <c r="F109" t="s">
        <v>101</v>
      </c>
      <c r="G109" t="s">
        <v>119</v>
      </c>
      <c r="I109" t="str">
        <f t="shared" si="8"/>
        <v>DECLARE odh_hedi06 varchar(200);</v>
      </c>
      <c r="L109" t="str">
        <f t="shared" si="9"/>
        <v>dth.hedi06,</v>
      </c>
      <c r="O109" t="str">
        <f t="shared" si="10"/>
        <v>odh_hedi06,</v>
      </c>
      <c r="Q109" t="str">
        <f t="shared" si="7"/>
        <v>hedi06,</v>
      </c>
    </row>
    <row r="110" spans="6:17" x14ac:dyDescent="0.25">
      <c r="F110" t="s">
        <v>102</v>
      </c>
      <c r="G110" t="s">
        <v>119</v>
      </c>
      <c r="I110" t="str">
        <f t="shared" si="8"/>
        <v>DECLARE odh_hedi07 varchar(200);</v>
      </c>
      <c r="L110" t="str">
        <f t="shared" si="9"/>
        <v>dth.hedi07,</v>
      </c>
      <c r="O110" t="str">
        <f t="shared" si="10"/>
        <v>odh_hedi07,</v>
      </c>
      <c r="Q110" t="str">
        <f t="shared" si="7"/>
        <v>hedi07,</v>
      </c>
    </row>
    <row r="111" spans="6:17" x14ac:dyDescent="0.25">
      <c r="F111" t="s">
        <v>103</v>
      </c>
      <c r="G111" t="s">
        <v>119</v>
      </c>
      <c r="I111" t="str">
        <f t="shared" si="8"/>
        <v>DECLARE odh_hedi08 varchar(200);</v>
      </c>
      <c r="L111" t="str">
        <f t="shared" si="9"/>
        <v>dth.hedi08,</v>
      </c>
      <c r="O111" t="str">
        <f t="shared" si="10"/>
        <v>odh_hedi08,</v>
      </c>
      <c r="Q111" t="str">
        <f t="shared" si="7"/>
        <v>hedi08,</v>
      </c>
    </row>
    <row r="112" spans="6:17" x14ac:dyDescent="0.25">
      <c r="F112" t="s">
        <v>104</v>
      </c>
      <c r="G112" t="s">
        <v>77</v>
      </c>
      <c r="I112" t="str">
        <f t="shared" si="8"/>
        <v>DECLARE odh_hedi09 decimal(18,8);</v>
      </c>
      <c r="L112" t="str">
        <f t="shared" si="9"/>
        <v>dth.hedi09,</v>
      </c>
      <c r="O112" t="str">
        <f t="shared" si="10"/>
        <v>odh_hedi09,</v>
      </c>
      <c r="Q112" t="str">
        <f t="shared" si="7"/>
        <v>hedi09,</v>
      </c>
    </row>
    <row r="113" spans="6:17" x14ac:dyDescent="0.25">
      <c r="F113" t="s">
        <v>105</v>
      </c>
      <c r="G113" t="s">
        <v>77</v>
      </c>
      <c r="I113" t="str">
        <f t="shared" si="8"/>
        <v>DECLARE odh_hedi10 decimal(18,8);</v>
      </c>
      <c r="L113" t="str">
        <f t="shared" si="9"/>
        <v>dth.hedi10,</v>
      </c>
      <c r="O113" t="str">
        <f t="shared" si="10"/>
        <v>odh_hedi10,</v>
      </c>
      <c r="Q113" t="str">
        <f t="shared" si="7"/>
        <v>hedi10,</v>
      </c>
    </row>
    <row r="114" spans="6:17" x14ac:dyDescent="0.25">
      <c r="F114" t="s">
        <v>106</v>
      </c>
      <c r="G114" t="s">
        <v>120</v>
      </c>
      <c r="I114" t="str">
        <f t="shared" si="8"/>
        <v>DECLARE odh_ediSendFlag char(1);</v>
      </c>
      <c r="L114" t="str">
        <f t="shared" si="9"/>
        <v>dth.ediSendFlag,</v>
      </c>
      <c r="O114" t="str">
        <f t="shared" si="10"/>
        <v>odh_ediSendFlag,</v>
      </c>
      <c r="Q114" t="str">
        <f t="shared" si="7"/>
        <v>ediSendFlag,</v>
      </c>
    </row>
    <row r="115" spans="6:17" x14ac:dyDescent="0.25">
      <c r="F115" t="s">
        <v>107</v>
      </c>
      <c r="G115" t="s">
        <v>80</v>
      </c>
      <c r="I115" t="str">
        <f t="shared" si="8"/>
        <v>DECLARE odh_ediSendTime timestamp;</v>
      </c>
      <c r="L115" t="str">
        <f t="shared" si="9"/>
        <v>dth.ediSendTime,</v>
      </c>
      <c r="O115" t="str">
        <f t="shared" si="10"/>
        <v>odh_ediSendTime,</v>
      </c>
      <c r="Q115" t="str">
        <f t="shared" si="7"/>
        <v>ediSendTime,</v>
      </c>
    </row>
    <row r="116" spans="6:17" x14ac:dyDescent="0.25">
      <c r="F116" t="s">
        <v>108</v>
      </c>
      <c r="G116" t="s">
        <v>74</v>
      </c>
      <c r="I116" t="str">
        <f t="shared" si="8"/>
        <v>DECLARE odh_ediErrorCode varchar(50);</v>
      </c>
      <c r="L116" t="str">
        <f t="shared" si="9"/>
        <v>dth.ediErrorCode,</v>
      </c>
      <c r="O116" t="str">
        <f t="shared" si="10"/>
        <v>odh_ediErrorCode,</v>
      </c>
      <c r="Q116" t="str">
        <f t="shared" si="7"/>
        <v>ediErrorCode,</v>
      </c>
    </row>
    <row r="117" spans="6:17" x14ac:dyDescent="0.25">
      <c r="F117" t="s">
        <v>109</v>
      </c>
      <c r="G117" t="s">
        <v>121</v>
      </c>
      <c r="I117" t="str">
        <f t="shared" si="8"/>
        <v>DECLARE odh_ediErrorMessage text;</v>
      </c>
      <c r="L117" t="str">
        <f t="shared" si="9"/>
        <v>dth.ediErrorMessage,</v>
      </c>
      <c r="O117" t="str">
        <f t="shared" si="10"/>
        <v>odh_ediErrorMessage,</v>
      </c>
      <c r="Q117" t="str">
        <f t="shared" si="7"/>
        <v>ediErrorMessage,</v>
      </c>
    </row>
    <row r="118" spans="6:17" x14ac:dyDescent="0.25">
      <c r="F118" t="s">
        <v>110</v>
      </c>
      <c r="G118" t="s">
        <v>80</v>
      </c>
      <c r="I118" t="str">
        <f t="shared" si="8"/>
        <v>DECLARE odh_ediSendTime2 timestamp;</v>
      </c>
      <c r="L118" t="str">
        <f t="shared" si="9"/>
        <v>dth.ediSendTime2,</v>
      </c>
      <c r="O118" t="str">
        <f t="shared" si="10"/>
        <v>odh_ediSendTime2,</v>
      </c>
      <c r="Q118" t="str">
        <f t="shared" si="7"/>
        <v>ediSendTime2,</v>
      </c>
    </row>
    <row r="119" spans="6:17" x14ac:dyDescent="0.25">
      <c r="F119" t="s">
        <v>111</v>
      </c>
      <c r="G119" t="s">
        <v>120</v>
      </c>
      <c r="I119" t="str">
        <f t="shared" si="8"/>
        <v>DECLARE odh_ediSendFlag2 char(1);</v>
      </c>
      <c r="L119" t="str">
        <f t="shared" si="9"/>
        <v>dth.ediSendFlag2,</v>
      </c>
      <c r="O119" t="str">
        <f t="shared" si="10"/>
        <v>odh_ediSendFlag2,</v>
      </c>
      <c r="Q119" t="str">
        <f t="shared" si="7"/>
        <v>ediSendFlag2,</v>
      </c>
    </row>
    <row r="120" spans="6:17" x14ac:dyDescent="0.25">
      <c r="F120" t="s">
        <v>112</v>
      </c>
      <c r="G120" t="s">
        <v>74</v>
      </c>
      <c r="I120" t="str">
        <f t="shared" si="8"/>
        <v>DECLARE odh_ediErrorCode2 varchar(50);</v>
      </c>
      <c r="L120" t="str">
        <f t="shared" si="9"/>
        <v>dth.ediErrorCode2,</v>
      </c>
      <c r="O120" t="str">
        <f t="shared" si="10"/>
        <v>odh_ediErrorCode2,</v>
      </c>
      <c r="Q120" t="str">
        <f t="shared" si="7"/>
        <v>ediErrorCode2,</v>
      </c>
    </row>
    <row r="121" spans="6:17" x14ac:dyDescent="0.25">
      <c r="F121" t="s">
        <v>113</v>
      </c>
      <c r="G121" t="s">
        <v>121</v>
      </c>
      <c r="I121" t="str">
        <f t="shared" si="8"/>
        <v>DECLARE odh_ediErrorMessage2 text;</v>
      </c>
      <c r="L121" t="str">
        <f t="shared" si="9"/>
        <v>dth.ediErrorMessage2,</v>
      </c>
      <c r="O121" t="str">
        <f t="shared" si="10"/>
        <v>odh_ediErrorMessage2,</v>
      </c>
      <c r="Q121" t="str">
        <f t="shared" si="7"/>
        <v>ediErrorMessage2,</v>
      </c>
    </row>
    <row r="122" spans="6:17" x14ac:dyDescent="0.25">
      <c r="F122" t="s">
        <v>114</v>
      </c>
      <c r="G122" t="s">
        <v>80</v>
      </c>
      <c r="I122" t="str">
        <f t="shared" si="8"/>
        <v>DECLARE odh_ediSendTime3 timestamp;</v>
      </c>
      <c r="L122" t="str">
        <f t="shared" si="9"/>
        <v>dth.ediSendTime3,</v>
      </c>
      <c r="O122" t="str">
        <f t="shared" si="10"/>
        <v>odh_ediSendTime3,</v>
      </c>
      <c r="Q122" t="str">
        <f t="shared" si="7"/>
        <v>ediSendTime3,</v>
      </c>
    </row>
    <row r="123" spans="6:17" x14ac:dyDescent="0.25">
      <c r="F123" t="s">
        <v>115</v>
      </c>
      <c r="G123" t="s">
        <v>120</v>
      </c>
      <c r="I123" t="str">
        <f t="shared" si="8"/>
        <v>DECLARE odh_ediSendFlag3 char(1);</v>
      </c>
      <c r="L123" t="str">
        <f t="shared" si="9"/>
        <v>dth.ediSendFlag3,</v>
      </c>
      <c r="O123" t="str">
        <f t="shared" si="10"/>
        <v>odh_ediSendFlag3,</v>
      </c>
      <c r="Q123" t="str">
        <f t="shared" si="7"/>
        <v>ediSendFlag3,</v>
      </c>
    </row>
    <row r="124" spans="6:17" x14ac:dyDescent="0.25">
      <c r="F124" t="s">
        <v>116</v>
      </c>
      <c r="G124" t="s">
        <v>74</v>
      </c>
      <c r="I124" t="str">
        <f t="shared" si="8"/>
        <v>DECLARE odh_ediErrorCode3 varchar(50);</v>
      </c>
      <c r="L124" t="str">
        <f t="shared" si="9"/>
        <v>dth.ediErrorCode3,</v>
      </c>
      <c r="O124" t="str">
        <f t="shared" si="10"/>
        <v>odh_ediErrorCode3,</v>
      </c>
      <c r="Q124" t="str">
        <f t="shared" si="7"/>
        <v>ediErrorCode3,</v>
      </c>
    </row>
    <row r="125" spans="6:17" x14ac:dyDescent="0.25">
      <c r="F125" t="s">
        <v>117</v>
      </c>
      <c r="G125" t="s">
        <v>121</v>
      </c>
      <c r="I125" t="str">
        <f t="shared" si="8"/>
        <v>DECLARE odh_ediErrorMessage3 text;</v>
      </c>
      <c r="L125" t="str">
        <f t="shared" si="9"/>
        <v>dth.ediErrorMessage3,</v>
      </c>
      <c r="O125" t="str">
        <f t="shared" si="10"/>
        <v>odh_ediErrorMessage3,</v>
      </c>
      <c r="Q125" t="str">
        <f t="shared" si="7"/>
        <v>ediErrorMessage3,</v>
      </c>
    </row>
    <row r="126" spans="6:17" x14ac:dyDescent="0.25">
      <c r="F126" t="s">
        <v>118</v>
      </c>
      <c r="G126" t="s">
        <v>120</v>
      </c>
      <c r="I126" t="str">
        <f t="shared" si="8"/>
        <v>DECLARE odh_listPrintFlag char(1);</v>
      </c>
      <c r="L126" t="str">
        <f t="shared" si="9"/>
        <v>dth.listPrintFlag,</v>
      </c>
      <c r="O126" t="str">
        <f t="shared" si="10"/>
        <v>odh_listPrintFlag,</v>
      </c>
      <c r="Q126" t="str">
        <f t="shared" si="7"/>
        <v>listPrintFlag,</v>
      </c>
    </row>
    <row r="127" spans="6:17" x14ac:dyDescent="0.25">
      <c r="Q127" t="str">
        <f t="shared" si="7"/>
        <v>,</v>
      </c>
    </row>
    <row r="128" spans="6:17" x14ac:dyDescent="0.25">
      <c r="Q128" t="str">
        <f t="shared" si="7"/>
        <v>,</v>
      </c>
    </row>
    <row r="129" spans="17:17" x14ac:dyDescent="0.25">
      <c r="Q129" t="str">
        <f t="shared" si="7"/>
        <v>,</v>
      </c>
    </row>
    <row r="130" spans="17:17" x14ac:dyDescent="0.25">
      <c r="Q130" t="str">
        <f t="shared" si="7"/>
        <v>,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3CB2-DE44-4A52-A88D-A8240B1F6CA0}">
  <dimension ref="A1"/>
  <sheetViews>
    <sheetView topLeftCell="A8" workbookViewId="0">
      <selection activeCell="I8" sqref="I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Ardiansah  Akbar</dc:creator>
  <cp:lastModifiedBy>M. Ardiansah  Akbar</cp:lastModifiedBy>
  <dcterms:created xsi:type="dcterms:W3CDTF">2024-08-04T08:10:44Z</dcterms:created>
  <dcterms:modified xsi:type="dcterms:W3CDTF">2024-08-04T15:47:10Z</dcterms:modified>
</cp:coreProperties>
</file>