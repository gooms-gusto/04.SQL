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cgrp-my.sharepoint.com/personal/m_ardiansah_lincgrp_com/Documents/04.SQL/archive db/"/>
    </mc:Choice>
  </mc:AlternateContent>
  <xr:revisionPtr revIDLastSave="13" documentId="11_80CE60E67BF4A2F29B5C16A66DDF3AD7383338DF" xr6:coauthVersionLast="47" xr6:coauthVersionMax="47" xr10:uidLastSave="{2CF96788-240F-40FB-86DC-4442CD470586}"/>
  <bookViews>
    <workbookView xWindow="-120" yWindow="-120" windowWidth="29040" windowHeight="15720" xr2:uid="{00000000-000D-0000-FFFF-FFFF00000000}"/>
  </bookViews>
  <sheets>
    <sheet name="expdata" sheetId="1" r:id="rId1"/>
  </sheets>
  <definedNames>
    <definedName name="_xlnm._FilterDatabase" localSheetId="0" hidden="1">expdata!$A$1:$L$1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2" i="1"/>
</calcChain>
</file>

<file path=xl/sharedStrings.xml><?xml version="1.0" encoding="utf-8"?>
<sst xmlns="http://schemas.openxmlformats.org/spreadsheetml/2006/main" count="365" uniqueCount="76">
  <si>
    <t>organizationId</t>
  </si>
  <si>
    <t>seqNo</t>
  </si>
  <si>
    <t>archiveCatagery</t>
  </si>
  <si>
    <t>tableName</t>
  </si>
  <si>
    <t>tableDesc</t>
  </si>
  <si>
    <t>groupFlag</t>
  </si>
  <si>
    <t>codeId</t>
  </si>
  <si>
    <t>groupCodeId</t>
  </si>
  <si>
    <t>joinFeild</t>
  </si>
  <si>
    <t>whereCondition</t>
  </si>
  <si>
    <t>archiveMode</t>
  </si>
  <si>
    <t>activeFlag</t>
  </si>
  <si>
    <t>OJV_CML</t>
  </si>
  <si>
    <t>OTHER</t>
  </si>
  <si>
    <t>DOC_VAS_HEADER</t>
  </si>
  <si>
    <t>Y</t>
  </si>
  <si>
    <t>VASNO</t>
  </si>
  <si>
    <t>vasNo</t>
  </si>
  <si>
    <t>vasStatus &gt;= '90'</t>
  </si>
  <si>
    <t>2</t>
  </si>
  <si>
    <t>DOC_VAS_DETAILS</t>
  </si>
  <si>
    <t>DOC_VAS_FEE</t>
  </si>
  <si>
    <t>DOC_VAS_SERVICE</t>
  </si>
  <si>
    <t>BIL_TARIFF_HEADER</t>
  </si>
  <si>
    <t>TARIFFID</t>
  </si>
  <si>
    <t>tariffId</t>
  </si>
  <si>
    <t>BIL_TARIFF_DETAILS</t>
  </si>
  <si>
    <t>BIL_TARIFF_RATE</t>
  </si>
  <si>
    <t>BIL_TARIFF_CONTAINER</t>
  </si>
  <si>
    <t>BIL_SUMMARY</t>
  </si>
  <si>
    <t>BILLINGSUMMARYID</t>
  </si>
  <si>
    <t>billingSummaryId</t>
  </si>
  <si>
    <t>BIL_BILLING_HEADER</t>
  </si>
  <si>
    <t>BILLINGNO</t>
  </si>
  <si>
    <t>billingNo</t>
  </si>
  <si>
    <t>BIL_BILLING_DETAILS</t>
  </si>
  <si>
    <t>BSM_ATTACHMENT</t>
  </si>
  <si>
    <t>FILEID</t>
  </si>
  <si>
    <t>fileId</t>
  </si>
  <si>
    <t>DOC_APPLICATION_HEADER</t>
  </si>
  <si>
    <t>APLNO</t>
  </si>
  <si>
    <t>aplNo</t>
  </si>
  <si>
    <t>aplStatus &gt;= '90'</t>
  </si>
  <si>
    <t>DOC_APPLICATION_DETAILS</t>
  </si>
  <si>
    <t>DOC_INVOICE_HEADER</t>
  </si>
  <si>
    <t>INVOICEID</t>
  </si>
  <si>
    <t>invoiceId</t>
  </si>
  <si>
    <t>status &gt;= '90'</t>
  </si>
  <si>
    <t>DOC_INVOICE_HEADER_UDF</t>
  </si>
  <si>
    <t>DOC_INVOICE_DETAILS</t>
  </si>
  <si>
    <t>DOC_INVOICE_DETAILS_UDF</t>
  </si>
  <si>
    <t>DOC_PRINT_DETAILSINFO</t>
  </si>
  <si>
    <t>DOC_PRINT_SUMINFO</t>
  </si>
  <si>
    <t>ACT_MEDICINE_MAINTENANCE</t>
  </si>
  <si>
    <t>TASKID</t>
  </si>
  <si>
    <t>taskId</t>
  </si>
  <si>
    <t>taskStatus &gt;= '90'</t>
  </si>
  <si>
    <t>TMS_TARIFF_HEADER</t>
  </si>
  <si>
    <t>TMS_TARIFF_DETAILS</t>
  </si>
  <si>
    <t>TMS_TARIFF_RATE</t>
  </si>
  <si>
    <t>TSK_WAREHOUSECAPACITY</t>
  </si>
  <si>
    <t>LBO_ASSIGNMENT_HEADER</t>
  </si>
  <si>
    <t>ASSIGNMENTID</t>
  </si>
  <si>
    <t>assignmentId</t>
  </si>
  <si>
    <t>LBO_ASSIGNMENT_DETAILS</t>
  </si>
  <si>
    <t>LBO_ASSIGNMENT_SUBDETAILS</t>
  </si>
  <si>
    <t>DOC_KIT_HEADER</t>
  </si>
  <si>
    <t>KITNO</t>
  </si>
  <si>
    <t>kitNo</t>
  </si>
  <si>
    <t>DOC_KIT_DETAILS</t>
  </si>
  <si>
    <t>DOC_KIT_SUBDETAILS</t>
  </si>
  <si>
    <t>Z_InventoryBalance</t>
  </si>
  <si>
    <t>id</t>
  </si>
  <si>
    <t>N</t>
  </si>
  <si>
    <t/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</si>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</sst>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/>
    <xf numFmtId="0" fontId="0" fillId="2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164" fontId="0" fillId="2" borderId="4" xfId="0" applyNumberFormat="1" applyFill="1" applyBorder="1" applyAlignment="1">
      <alignment horizontal="left" vertical="top" wrapText="1"/>
    </xf>
    <xf numFmtId="164" fontId="1" fillId="3" borderId="4" xfId="0" applyNumberFormat="1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0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C14" zoomScale="115" zoomScaleNormal="115" workbookViewId="0">
      <selection activeCell="M11" sqref="M11:M32"/>
    </sheetView>
  </sheetViews>
  <sheetFormatPr defaultRowHeight="15" x14ac:dyDescent="0.15"/>
  <cols>
    <col min="1" max="1" width="20.1640625" bestFit="1" customWidth="1"/>
    <col min="2" max="2" width="16" bestFit="1" customWidth="1"/>
    <col min="3" max="3" width="22.5" bestFit="1" customWidth="1"/>
    <col min="4" max="4" width="45.5" customWidth="1"/>
    <col min="5" max="9" width="10.1640625" customWidth="1"/>
    <col min="10" max="10" width="34.33203125" customWidth="1"/>
    <col min="11" max="12" width="10.1640625" customWidth="1"/>
    <col min="13" max="13" width="96" bestFit="1" customWidth="1"/>
  </cols>
  <sheetData>
    <row r="1" spans="1:13" ht="10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75</v>
      </c>
    </row>
    <row r="2" spans="1:13" ht="21" x14ac:dyDescent="0.15">
      <c r="A2" s="3" t="s">
        <v>12</v>
      </c>
      <c r="B2" s="5">
        <v>426</v>
      </c>
      <c r="C2" s="7" t="s">
        <v>13</v>
      </c>
      <c r="D2" s="7" t="s">
        <v>14</v>
      </c>
      <c r="E2" s="7" t="s">
        <v>74</v>
      </c>
      <c r="F2" s="7" t="s">
        <v>15</v>
      </c>
      <c r="G2" s="7" t="s">
        <v>16</v>
      </c>
      <c r="H2" s="7" t="s">
        <v>16</v>
      </c>
      <c r="I2" s="7" t="s">
        <v>17</v>
      </c>
      <c r="J2" s="7" t="s">
        <v>18</v>
      </c>
      <c r="K2" s="7" t="s">
        <v>19</v>
      </c>
      <c r="L2" s="9" t="s">
        <v>15</v>
      </c>
      <c r="M2" t="str">
        <f>CONCATENATE("SELECT * FROM ",D2, " WHERE warehouseId='CBT01'  AND YEAR(editTime) &lt; 2021;")</f>
        <v>SELECT * FROM DOC_VAS_HEADER WHERE warehouseId='CBT01'  AND YEAR(editTime) &lt; 2021;</v>
      </c>
    </row>
    <row r="3" spans="1:13" ht="21" x14ac:dyDescent="0.15">
      <c r="A3" s="2" t="s">
        <v>12</v>
      </c>
      <c r="B3" s="4">
        <v>427</v>
      </c>
      <c r="C3" s="6" t="s">
        <v>13</v>
      </c>
      <c r="D3" s="6" t="s">
        <v>20</v>
      </c>
      <c r="E3" s="6" t="s">
        <v>74</v>
      </c>
      <c r="F3" s="6" t="s">
        <v>74</v>
      </c>
      <c r="G3" s="6" t="s">
        <v>16</v>
      </c>
      <c r="H3" s="6" t="s">
        <v>74</v>
      </c>
      <c r="I3" s="6" t="s">
        <v>17</v>
      </c>
      <c r="J3" s="6" t="s">
        <v>74</v>
      </c>
      <c r="K3" s="6" t="s">
        <v>19</v>
      </c>
      <c r="L3" s="8" t="s">
        <v>15</v>
      </c>
      <c r="M3" t="str">
        <f t="shared" ref="M3:M33" si="0">CONCATENATE("SELECT * FROM ",D3, " WHERE warehouseId='CBT01'  AND YEAR(editTime) &lt; 2021;")</f>
        <v>SELECT * FROM DOC_VAS_DETAILS WHERE warehouseId='CBT01'  AND YEAR(editTime) &lt; 2021;</v>
      </c>
    </row>
    <row r="4" spans="1:13" ht="10.5" x14ac:dyDescent="0.15">
      <c r="A4" s="3" t="s">
        <v>12</v>
      </c>
      <c r="B4" s="5">
        <v>428</v>
      </c>
      <c r="C4" s="7" t="s">
        <v>13</v>
      </c>
      <c r="D4" s="7" t="s">
        <v>21</v>
      </c>
      <c r="E4" s="7" t="s">
        <v>74</v>
      </c>
      <c r="F4" s="7" t="s">
        <v>74</v>
      </c>
      <c r="G4" s="7" t="s">
        <v>16</v>
      </c>
      <c r="H4" s="7" t="s">
        <v>74</v>
      </c>
      <c r="I4" s="7" t="s">
        <v>17</v>
      </c>
      <c r="J4" s="7" t="s">
        <v>74</v>
      </c>
      <c r="K4" s="7" t="s">
        <v>19</v>
      </c>
      <c r="L4" s="9" t="s">
        <v>15</v>
      </c>
      <c r="M4" t="str">
        <f t="shared" si="0"/>
        <v>SELECT * FROM DOC_VAS_FEE WHERE warehouseId='CBT01'  AND YEAR(editTime) &lt; 2021;</v>
      </c>
    </row>
    <row r="5" spans="1:13" ht="21" x14ac:dyDescent="0.15">
      <c r="A5" s="2" t="s">
        <v>12</v>
      </c>
      <c r="B5" s="4">
        <v>429</v>
      </c>
      <c r="C5" s="6" t="s">
        <v>13</v>
      </c>
      <c r="D5" s="6" t="s">
        <v>22</v>
      </c>
      <c r="E5" s="6" t="s">
        <v>74</v>
      </c>
      <c r="F5" s="6" t="s">
        <v>74</v>
      </c>
      <c r="G5" s="6" t="s">
        <v>16</v>
      </c>
      <c r="H5" s="6" t="s">
        <v>74</v>
      </c>
      <c r="I5" s="6" t="s">
        <v>17</v>
      </c>
      <c r="J5" s="6" t="s">
        <v>74</v>
      </c>
      <c r="K5" s="6" t="s">
        <v>19</v>
      </c>
      <c r="L5" s="8" t="s">
        <v>15</v>
      </c>
      <c r="M5" t="str">
        <f t="shared" si="0"/>
        <v>SELECT * FROM DOC_VAS_SERVICE WHERE warehouseId='CBT01'  AND YEAR(editTime) &lt; 2021;</v>
      </c>
    </row>
    <row r="6" spans="1:13" ht="21" x14ac:dyDescent="0.15">
      <c r="A6" s="3" t="s">
        <v>12</v>
      </c>
      <c r="B6" s="5">
        <v>430</v>
      </c>
      <c r="C6" s="7" t="s">
        <v>13</v>
      </c>
      <c r="D6" s="7" t="s">
        <v>23</v>
      </c>
      <c r="E6" s="7" t="s">
        <v>74</v>
      </c>
      <c r="F6" s="7" t="s">
        <v>15</v>
      </c>
      <c r="G6" s="7" t="s">
        <v>24</v>
      </c>
      <c r="H6" s="7" t="s">
        <v>24</v>
      </c>
      <c r="I6" s="7" t="s">
        <v>25</v>
      </c>
      <c r="J6" s="7" t="s">
        <v>74</v>
      </c>
      <c r="K6" s="7" t="s">
        <v>19</v>
      </c>
      <c r="L6" s="9" t="s">
        <v>15</v>
      </c>
      <c r="M6" t="str">
        <f t="shared" si="0"/>
        <v>SELECT * FROM BIL_TARIFF_HEADER WHERE warehouseId='CBT01'  AND YEAR(editTime) &lt; 2021;</v>
      </c>
    </row>
    <row r="7" spans="1:13" ht="21" x14ac:dyDescent="0.15">
      <c r="A7" s="2" t="s">
        <v>12</v>
      </c>
      <c r="B7" s="4">
        <v>431</v>
      </c>
      <c r="C7" s="6" t="s">
        <v>13</v>
      </c>
      <c r="D7" s="6" t="s">
        <v>26</v>
      </c>
      <c r="E7" s="6" t="s">
        <v>74</v>
      </c>
      <c r="F7" s="6" t="s">
        <v>74</v>
      </c>
      <c r="G7" s="6" t="s">
        <v>24</v>
      </c>
      <c r="H7" s="6" t="s">
        <v>74</v>
      </c>
      <c r="I7" s="6" t="s">
        <v>25</v>
      </c>
      <c r="J7" s="6" t="s">
        <v>74</v>
      </c>
      <c r="K7" s="6" t="s">
        <v>19</v>
      </c>
      <c r="L7" s="8" t="s">
        <v>15</v>
      </c>
      <c r="M7" t="str">
        <f t="shared" si="0"/>
        <v>SELECT * FROM BIL_TARIFF_DETAILS WHERE warehouseId='CBT01'  AND YEAR(editTime) &lt; 2021;</v>
      </c>
    </row>
    <row r="8" spans="1:13" ht="21" x14ac:dyDescent="0.15">
      <c r="A8" s="3" t="s">
        <v>12</v>
      </c>
      <c r="B8" s="5">
        <v>432</v>
      </c>
      <c r="C8" s="7" t="s">
        <v>13</v>
      </c>
      <c r="D8" s="7" t="s">
        <v>27</v>
      </c>
      <c r="E8" s="7" t="s">
        <v>74</v>
      </c>
      <c r="F8" s="7" t="s">
        <v>74</v>
      </c>
      <c r="G8" s="7" t="s">
        <v>24</v>
      </c>
      <c r="H8" s="7" t="s">
        <v>74</v>
      </c>
      <c r="I8" s="7" t="s">
        <v>25</v>
      </c>
      <c r="J8" s="7" t="s">
        <v>74</v>
      </c>
      <c r="K8" s="7" t="s">
        <v>19</v>
      </c>
      <c r="L8" s="9" t="s">
        <v>15</v>
      </c>
      <c r="M8" t="str">
        <f t="shared" si="0"/>
        <v>SELECT * FROM BIL_TARIFF_RATE WHERE warehouseId='CBT01'  AND YEAR(editTime) &lt; 2021;</v>
      </c>
    </row>
    <row r="9" spans="1:13" ht="21" x14ac:dyDescent="0.15">
      <c r="A9" s="2" t="s">
        <v>12</v>
      </c>
      <c r="B9" s="4">
        <v>433</v>
      </c>
      <c r="C9" s="6" t="s">
        <v>13</v>
      </c>
      <c r="D9" s="6" t="s">
        <v>28</v>
      </c>
      <c r="E9" s="6" t="s">
        <v>74</v>
      </c>
      <c r="F9" s="6" t="s">
        <v>74</v>
      </c>
      <c r="G9" s="6" t="s">
        <v>24</v>
      </c>
      <c r="H9" s="6" t="s">
        <v>74</v>
      </c>
      <c r="I9" s="6" t="s">
        <v>25</v>
      </c>
      <c r="J9" s="6" t="s">
        <v>74</v>
      </c>
      <c r="K9" s="6" t="s">
        <v>19</v>
      </c>
      <c r="L9" s="8" t="s">
        <v>15</v>
      </c>
      <c r="M9" t="str">
        <f t="shared" si="0"/>
        <v>SELECT * FROM BIL_TARIFF_CONTAINER WHERE warehouseId='CBT01'  AND YEAR(editTime) &lt; 2021;</v>
      </c>
    </row>
    <row r="10" spans="1:13" ht="21" x14ac:dyDescent="0.15">
      <c r="A10" s="3" t="s">
        <v>12</v>
      </c>
      <c r="B10" s="5">
        <v>434</v>
      </c>
      <c r="C10" s="7" t="s">
        <v>13</v>
      </c>
      <c r="D10" s="7" t="s">
        <v>29</v>
      </c>
      <c r="E10" s="7" t="s">
        <v>74</v>
      </c>
      <c r="F10" s="7" t="s">
        <v>15</v>
      </c>
      <c r="G10" s="7" t="s">
        <v>30</v>
      </c>
      <c r="H10" s="7" t="s">
        <v>30</v>
      </c>
      <c r="I10" s="7" t="s">
        <v>31</v>
      </c>
      <c r="J10" s="7" t="s">
        <v>74</v>
      </c>
      <c r="K10" s="7" t="s">
        <v>19</v>
      </c>
      <c r="L10" s="9" t="s">
        <v>15</v>
      </c>
      <c r="M10" t="str">
        <f t="shared" si="0"/>
        <v>SELECT * FROM BIL_SUMMARY WHERE warehouseId='CBT01'  AND YEAR(editTime) &lt; 2021;</v>
      </c>
    </row>
    <row r="11" spans="1:13" ht="21" x14ac:dyDescent="0.15">
      <c r="A11" s="2" t="s">
        <v>12</v>
      </c>
      <c r="B11" s="4">
        <v>435</v>
      </c>
      <c r="C11" s="6" t="s">
        <v>13</v>
      </c>
      <c r="D11" s="6" t="s">
        <v>32</v>
      </c>
      <c r="E11" s="6" t="s">
        <v>74</v>
      </c>
      <c r="F11" s="6" t="s">
        <v>15</v>
      </c>
      <c r="G11" s="6" t="s">
        <v>33</v>
      </c>
      <c r="H11" s="6" t="s">
        <v>33</v>
      </c>
      <c r="I11" s="6" t="s">
        <v>34</v>
      </c>
      <c r="J11" s="6" t="s">
        <v>74</v>
      </c>
      <c r="K11" s="6" t="s">
        <v>19</v>
      </c>
      <c r="L11" s="8" t="s">
        <v>15</v>
      </c>
      <c r="M11" t="str">
        <f>CONCATENATE("SELECT * FROM ",D11, " WHERE warehouseId='CBT01'  AND YEAR(editTime) &lt; 2021;")</f>
        <v>SELECT * FROM BIL_BILLING_HEADER WHERE warehouseId='CBT01'  AND YEAR(editTime) &lt; 2021;</v>
      </c>
    </row>
    <row r="12" spans="1:13" ht="21" x14ac:dyDescent="0.15">
      <c r="A12" s="3" t="s">
        <v>12</v>
      </c>
      <c r="B12" s="5">
        <v>436</v>
      </c>
      <c r="C12" s="7" t="s">
        <v>13</v>
      </c>
      <c r="D12" s="7" t="s">
        <v>35</v>
      </c>
      <c r="E12" s="7" t="s">
        <v>74</v>
      </c>
      <c r="F12" s="7" t="s">
        <v>74</v>
      </c>
      <c r="G12" s="7" t="s">
        <v>33</v>
      </c>
      <c r="H12" s="7" t="s">
        <v>74</v>
      </c>
      <c r="I12" s="7" t="s">
        <v>34</v>
      </c>
      <c r="J12" s="7" t="s">
        <v>74</v>
      </c>
      <c r="K12" s="7" t="s">
        <v>19</v>
      </c>
      <c r="L12" s="9" t="s">
        <v>15</v>
      </c>
      <c r="M12" t="str">
        <f t="shared" si="0"/>
        <v>SELECT * FROM BIL_BILLING_DETAILS WHERE warehouseId='CBT01'  AND YEAR(editTime) &lt; 2021;</v>
      </c>
    </row>
    <row r="13" spans="1:13" ht="21" x14ac:dyDescent="0.15">
      <c r="A13" s="2" t="s">
        <v>12</v>
      </c>
      <c r="B13" s="4">
        <v>437</v>
      </c>
      <c r="C13" s="6" t="s">
        <v>13</v>
      </c>
      <c r="D13" s="6" t="s">
        <v>36</v>
      </c>
      <c r="E13" s="6" t="s">
        <v>74</v>
      </c>
      <c r="F13" s="6" t="s">
        <v>15</v>
      </c>
      <c r="G13" s="6" t="s">
        <v>37</v>
      </c>
      <c r="H13" s="6" t="s">
        <v>37</v>
      </c>
      <c r="I13" s="6" t="s">
        <v>38</v>
      </c>
      <c r="J13" s="6" t="s">
        <v>74</v>
      </c>
      <c r="K13" s="6" t="s">
        <v>19</v>
      </c>
      <c r="L13" s="8" t="s">
        <v>15</v>
      </c>
      <c r="M13" t="str">
        <f t="shared" si="0"/>
        <v>SELECT * FROM BSM_ATTACHMENT WHERE warehouseId='CBT01'  AND YEAR(editTime) &lt; 2021;</v>
      </c>
    </row>
    <row r="14" spans="1:13" ht="21" x14ac:dyDescent="0.15">
      <c r="A14" s="3" t="s">
        <v>12</v>
      </c>
      <c r="B14" s="5">
        <v>438</v>
      </c>
      <c r="C14" s="7" t="s">
        <v>13</v>
      </c>
      <c r="D14" s="7" t="s">
        <v>39</v>
      </c>
      <c r="E14" s="7" t="s">
        <v>74</v>
      </c>
      <c r="F14" s="7" t="s">
        <v>15</v>
      </c>
      <c r="G14" s="7" t="s">
        <v>40</v>
      </c>
      <c r="H14" s="7" t="s">
        <v>40</v>
      </c>
      <c r="I14" s="7" t="s">
        <v>41</v>
      </c>
      <c r="J14" s="7" t="s">
        <v>42</v>
      </c>
      <c r="K14" s="7" t="s">
        <v>19</v>
      </c>
      <c r="L14" s="9" t="s">
        <v>15</v>
      </c>
      <c r="M14" t="str">
        <f t="shared" si="0"/>
        <v>SELECT * FROM DOC_APPLICATION_HEADER WHERE warehouseId='CBT01'  AND YEAR(editTime) &lt; 2021;</v>
      </c>
    </row>
    <row r="15" spans="1:13" ht="21" x14ac:dyDescent="0.15">
      <c r="A15" s="2" t="s">
        <v>12</v>
      </c>
      <c r="B15" s="4">
        <v>439</v>
      </c>
      <c r="C15" s="6" t="s">
        <v>13</v>
      </c>
      <c r="D15" s="6" t="s">
        <v>43</v>
      </c>
      <c r="E15" s="6" t="s">
        <v>74</v>
      </c>
      <c r="F15" s="6" t="s">
        <v>74</v>
      </c>
      <c r="G15" s="6" t="s">
        <v>40</v>
      </c>
      <c r="H15" s="6" t="s">
        <v>74</v>
      </c>
      <c r="I15" s="6" t="s">
        <v>41</v>
      </c>
      <c r="J15" s="6" t="s">
        <v>74</v>
      </c>
      <c r="K15" s="6" t="s">
        <v>19</v>
      </c>
      <c r="L15" s="8" t="s">
        <v>15</v>
      </c>
      <c r="M15" t="str">
        <f t="shared" si="0"/>
        <v>SELECT * FROM DOC_APPLICATION_DETAILS WHERE warehouseId='CBT01'  AND YEAR(editTime) &lt; 2021;</v>
      </c>
    </row>
    <row r="16" spans="1:13" ht="21" x14ac:dyDescent="0.15">
      <c r="A16" s="3" t="s">
        <v>12</v>
      </c>
      <c r="B16" s="5">
        <v>440</v>
      </c>
      <c r="C16" s="7" t="s">
        <v>13</v>
      </c>
      <c r="D16" s="7" t="s">
        <v>44</v>
      </c>
      <c r="E16" s="7" t="s">
        <v>74</v>
      </c>
      <c r="F16" s="7" t="s">
        <v>15</v>
      </c>
      <c r="G16" s="7" t="s">
        <v>45</v>
      </c>
      <c r="H16" s="7" t="s">
        <v>45</v>
      </c>
      <c r="I16" s="7" t="s">
        <v>46</v>
      </c>
      <c r="J16" s="7" t="s">
        <v>47</v>
      </c>
      <c r="K16" s="7" t="s">
        <v>19</v>
      </c>
      <c r="L16" s="9" t="s">
        <v>15</v>
      </c>
      <c r="M16" t="str">
        <f t="shared" si="0"/>
        <v>SELECT * FROM DOC_INVOICE_HEADER WHERE warehouseId='CBT01'  AND YEAR(editTime) &lt; 2021;</v>
      </c>
    </row>
    <row r="17" spans="1:13" ht="21" x14ac:dyDescent="0.15">
      <c r="A17" s="2" t="s">
        <v>12</v>
      </c>
      <c r="B17" s="4">
        <v>441</v>
      </c>
      <c r="C17" s="6" t="s">
        <v>13</v>
      </c>
      <c r="D17" s="6" t="s">
        <v>48</v>
      </c>
      <c r="E17" s="6" t="s">
        <v>74</v>
      </c>
      <c r="F17" s="6" t="s">
        <v>74</v>
      </c>
      <c r="G17" s="6" t="s">
        <v>45</v>
      </c>
      <c r="H17" s="6" t="s">
        <v>74</v>
      </c>
      <c r="I17" s="6" t="s">
        <v>46</v>
      </c>
      <c r="J17" s="6" t="s">
        <v>74</v>
      </c>
      <c r="K17" s="6" t="s">
        <v>19</v>
      </c>
      <c r="L17" s="8" t="s">
        <v>15</v>
      </c>
      <c r="M17" t="str">
        <f t="shared" si="0"/>
        <v>SELECT * FROM DOC_INVOICE_HEADER_UDF WHERE warehouseId='CBT01'  AND YEAR(editTime) &lt; 2021;</v>
      </c>
    </row>
    <row r="18" spans="1:13" ht="21" x14ac:dyDescent="0.15">
      <c r="A18" s="3" t="s">
        <v>12</v>
      </c>
      <c r="B18" s="5">
        <v>442</v>
      </c>
      <c r="C18" s="7" t="s">
        <v>13</v>
      </c>
      <c r="D18" s="7" t="s">
        <v>49</v>
      </c>
      <c r="E18" s="7" t="s">
        <v>74</v>
      </c>
      <c r="F18" s="7" t="s">
        <v>74</v>
      </c>
      <c r="G18" s="7" t="s">
        <v>45</v>
      </c>
      <c r="H18" s="7" t="s">
        <v>74</v>
      </c>
      <c r="I18" s="7" t="s">
        <v>46</v>
      </c>
      <c r="J18" s="7" t="s">
        <v>74</v>
      </c>
      <c r="K18" s="7" t="s">
        <v>19</v>
      </c>
      <c r="L18" s="9" t="s">
        <v>15</v>
      </c>
      <c r="M18" t="str">
        <f t="shared" si="0"/>
        <v>SELECT * FROM DOC_INVOICE_DETAILS WHERE warehouseId='CBT01'  AND YEAR(editTime) &lt; 2021;</v>
      </c>
    </row>
    <row r="19" spans="1:13" ht="21" x14ac:dyDescent="0.15">
      <c r="A19" s="2" t="s">
        <v>12</v>
      </c>
      <c r="B19" s="4">
        <v>443</v>
      </c>
      <c r="C19" s="6" t="s">
        <v>13</v>
      </c>
      <c r="D19" s="6" t="s">
        <v>50</v>
      </c>
      <c r="E19" s="6" t="s">
        <v>74</v>
      </c>
      <c r="F19" s="6" t="s">
        <v>74</v>
      </c>
      <c r="G19" s="6" t="s">
        <v>45</v>
      </c>
      <c r="H19" s="6" t="s">
        <v>74</v>
      </c>
      <c r="I19" s="6" t="s">
        <v>46</v>
      </c>
      <c r="J19" s="6" t="s">
        <v>74</v>
      </c>
      <c r="K19" s="6" t="s">
        <v>19</v>
      </c>
      <c r="L19" s="8" t="s">
        <v>15</v>
      </c>
      <c r="M19" t="str">
        <f t="shared" si="0"/>
        <v>SELECT * FROM DOC_INVOICE_DETAILS_UDF WHERE warehouseId='CBT01'  AND YEAR(editTime) &lt; 2021;</v>
      </c>
    </row>
    <row r="20" spans="1:13" ht="21" x14ac:dyDescent="0.15">
      <c r="A20" s="3" t="s">
        <v>12</v>
      </c>
      <c r="B20" s="5">
        <v>444</v>
      </c>
      <c r="C20" s="7" t="s">
        <v>13</v>
      </c>
      <c r="D20" s="7" t="s">
        <v>51</v>
      </c>
      <c r="E20" s="7" t="s">
        <v>74</v>
      </c>
      <c r="F20" s="7" t="s">
        <v>15</v>
      </c>
      <c r="G20" s="7" t="s">
        <v>74</v>
      </c>
      <c r="H20" s="7" t="s">
        <v>74</v>
      </c>
      <c r="I20" s="7" t="s">
        <v>74</v>
      </c>
      <c r="J20" s="7" t="s">
        <v>74</v>
      </c>
      <c r="K20" s="7" t="s">
        <v>19</v>
      </c>
      <c r="L20" s="9" t="s">
        <v>15</v>
      </c>
      <c r="M20" t="str">
        <f t="shared" si="0"/>
        <v>SELECT * FROM DOC_PRINT_DETAILSINFO WHERE warehouseId='CBT01'  AND YEAR(editTime) &lt; 2021;</v>
      </c>
    </row>
    <row r="21" spans="1:13" ht="21" x14ac:dyDescent="0.15">
      <c r="A21" s="2" t="s">
        <v>12</v>
      </c>
      <c r="B21" s="4">
        <v>445</v>
      </c>
      <c r="C21" s="6" t="s">
        <v>13</v>
      </c>
      <c r="D21" s="6" t="s">
        <v>52</v>
      </c>
      <c r="E21" s="6" t="s">
        <v>74</v>
      </c>
      <c r="F21" s="6" t="s">
        <v>15</v>
      </c>
      <c r="G21" s="6" t="s">
        <v>74</v>
      </c>
      <c r="H21" s="6" t="s">
        <v>74</v>
      </c>
      <c r="I21" s="6" t="s">
        <v>74</v>
      </c>
      <c r="J21" s="6" t="s">
        <v>74</v>
      </c>
      <c r="K21" s="6" t="s">
        <v>19</v>
      </c>
      <c r="L21" s="8" t="s">
        <v>15</v>
      </c>
      <c r="M21" t="str">
        <f t="shared" si="0"/>
        <v>SELECT * FROM DOC_PRINT_SUMINFO WHERE warehouseId='CBT01'  AND YEAR(editTime) &lt; 2021;</v>
      </c>
    </row>
    <row r="22" spans="1:13" ht="21" x14ac:dyDescent="0.15">
      <c r="A22" s="3" t="s">
        <v>12</v>
      </c>
      <c r="B22" s="5">
        <v>446</v>
      </c>
      <c r="C22" s="7" t="s">
        <v>13</v>
      </c>
      <c r="D22" s="7" t="s">
        <v>53</v>
      </c>
      <c r="E22" s="7" t="s">
        <v>74</v>
      </c>
      <c r="F22" s="7" t="s">
        <v>15</v>
      </c>
      <c r="G22" s="7" t="s">
        <v>54</v>
      </c>
      <c r="H22" s="7" t="s">
        <v>54</v>
      </c>
      <c r="I22" s="7" t="s">
        <v>55</v>
      </c>
      <c r="J22" s="7" t="s">
        <v>56</v>
      </c>
      <c r="K22" s="7" t="s">
        <v>19</v>
      </c>
      <c r="L22" s="9" t="s">
        <v>15</v>
      </c>
      <c r="M22" t="str">
        <f t="shared" si="0"/>
        <v>SELECT * FROM ACT_MEDICINE_MAINTENANCE WHERE warehouseId='CBT01'  AND YEAR(editTime) &lt; 2021;</v>
      </c>
    </row>
    <row r="23" spans="1:13" ht="21" x14ac:dyDescent="0.15">
      <c r="A23" s="2" t="s">
        <v>12</v>
      </c>
      <c r="B23" s="4">
        <v>447</v>
      </c>
      <c r="C23" s="6" t="s">
        <v>13</v>
      </c>
      <c r="D23" s="6" t="s">
        <v>57</v>
      </c>
      <c r="E23" s="6" t="s">
        <v>74</v>
      </c>
      <c r="F23" s="6" t="s">
        <v>15</v>
      </c>
      <c r="G23" s="6" t="s">
        <v>24</v>
      </c>
      <c r="H23" s="6" t="s">
        <v>24</v>
      </c>
      <c r="I23" s="6" t="s">
        <v>25</v>
      </c>
      <c r="J23" s="6" t="s">
        <v>74</v>
      </c>
      <c r="K23" s="6" t="s">
        <v>19</v>
      </c>
      <c r="L23" s="8" t="s">
        <v>15</v>
      </c>
      <c r="M23" t="str">
        <f t="shared" si="0"/>
        <v>SELECT * FROM TMS_TARIFF_HEADER WHERE warehouseId='CBT01'  AND YEAR(editTime) &lt; 2021;</v>
      </c>
    </row>
    <row r="24" spans="1:13" ht="21" x14ac:dyDescent="0.15">
      <c r="A24" s="3" t="s">
        <v>12</v>
      </c>
      <c r="B24" s="5">
        <v>448</v>
      </c>
      <c r="C24" s="7" t="s">
        <v>13</v>
      </c>
      <c r="D24" s="7" t="s">
        <v>58</v>
      </c>
      <c r="E24" s="7" t="s">
        <v>74</v>
      </c>
      <c r="F24" s="7" t="s">
        <v>74</v>
      </c>
      <c r="G24" s="7" t="s">
        <v>24</v>
      </c>
      <c r="H24" s="7" t="s">
        <v>74</v>
      </c>
      <c r="I24" s="7" t="s">
        <v>25</v>
      </c>
      <c r="J24" s="7" t="s">
        <v>74</v>
      </c>
      <c r="K24" s="7" t="s">
        <v>19</v>
      </c>
      <c r="L24" s="9" t="s">
        <v>15</v>
      </c>
      <c r="M24" t="str">
        <f t="shared" si="0"/>
        <v>SELECT * FROM TMS_TARIFF_DETAILS WHERE warehouseId='CBT01'  AND YEAR(editTime) &lt; 2021;</v>
      </c>
    </row>
    <row r="25" spans="1:13" ht="21" x14ac:dyDescent="0.15">
      <c r="A25" s="2" t="s">
        <v>12</v>
      </c>
      <c r="B25" s="4">
        <v>449</v>
      </c>
      <c r="C25" s="6" t="s">
        <v>13</v>
      </c>
      <c r="D25" s="6" t="s">
        <v>59</v>
      </c>
      <c r="E25" s="6" t="s">
        <v>74</v>
      </c>
      <c r="F25" s="6" t="s">
        <v>74</v>
      </c>
      <c r="G25" s="6" t="s">
        <v>24</v>
      </c>
      <c r="H25" s="6" t="s">
        <v>74</v>
      </c>
      <c r="I25" s="6" t="s">
        <v>25</v>
      </c>
      <c r="J25" s="6" t="s">
        <v>74</v>
      </c>
      <c r="K25" s="6" t="s">
        <v>19</v>
      </c>
      <c r="L25" s="8" t="s">
        <v>15</v>
      </c>
      <c r="M25" t="str">
        <f t="shared" si="0"/>
        <v>SELECT * FROM TMS_TARIFF_RATE WHERE warehouseId='CBT01'  AND YEAR(editTime) &lt; 2021;</v>
      </c>
    </row>
    <row r="26" spans="1:13" ht="21" x14ac:dyDescent="0.15">
      <c r="A26" s="3" t="s">
        <v>12</v>
      </c>
      <c r="B26" s="5">
        <v>450</v>
      </c>
      <c r="C26" s="7" t="s">
        <v>13</v>
      </c>
      <c r="D26" s="7" t="s">
        <v>60</v>
      </c>
      <c r="E26" s="7" t="s">
        <v>74</v>
      </c>
      <c r="F26" s="7" t="s">
        <v>15</v>
      </c>
      <c r="G26" s="7" t="s">
        <v>74</v>
      </c>
      <c r="H26" s="7" t="s">
        <v>74</v>
      </c>
      <c r="I26" s="7" t="s">
        <v>74</v>
      </c>
      <c r="J26" s="7" t="s">
        <v>74</v>
      </c>
      <c r="K26" s="7" t="s">
        <v>19</v>
      </c>
      <c r="L26" s="9" t="s">
        <v>15</v>
      </c>
      <c r="M26" t="str">
        <f t="shared" si="0"/>
        <v>SELECT * FROM TSK_WAREHOUSECAPACITY WHERE warehouseId='CBT01'  AND YEAR(editTime) &lt; 2021;</v>
      </c>
    </row>
    <row r="27" spans="1:13" ht="21" x14ac:dyDescent="0.15">
      <c r="A27" s="2" t="s">
        <v>12</v>
      </c>
      <c r="B27" s="4">
        <v>451</v>
      </c>
      <c r="C27" s="6" t="s">
        <v>13</v>
      </c>
      <c r="D27" s="6" t="s">
        <v>61</v>
      </c>
      <c r="E27" s="6" t="s">
        <v>74</v>
      </c>
      <c r="F27" s="6" t="s">
        <v>15</v>
      </c>
      <c r="G27" s="6" t="s">
        <v>62</v>
      </c>
      <c r="H27" s="6" t="s">
        <v>62</v>
      </c>
      <c r="I27" s="6" t="s">
        <v>63</v>
      </c>
      <c r="J27" s="6" t="s">
        <v>74</v>
      </c>
      <c r="K27" s="6" t="s">
        <v>19</v>
      </c>
      <c r="L27" s="8" t="s">
        <v>15</v>
      </c>
      <c r="M27" t="str">
        <f t="shared" si="0"/>
        <v>SELECT * FROM LBO_ASSIGNMENT_HEADER WHERE warehouseId='CBT01'  AND YEAR(editTime) &lt; 2021;</v>
      </c>
    </row>
    <row r="28" spans="1:13" ht="21" x14ac:dyDescent="0.15">
      <c r="A28" s="3" t="s">
        <v>12</v>
      </c>
      <c r="B28" s="5">
        <v>452</v>
      </c>
      <c r="C28" s="7" t="s">
        <v>13</v>
      </c>
      <c r="D28" s="7" t="s">
        <v>64</v>
      </c>
      <c r="E28" s="7" t="s">
        <v>74</v>
      </c>
      <c r="F28" s="7" t="s">
        <v>74</v>
      </c>
      <c r="G28" s="7" t="s">
        <v>62</v>
      </c>
      <c r="H28" s="7" t="s">
        <v>74</v>
      </c>
      <c r="I28" s="7" t="s">
        <v>63</v>
      </c>
      <c r="J28" s="7" t="s">
        <v>74</v>
      </c>
      <c r="K28" s="7" t="s">
        <v>19</v>
      </c>
      <c r="L28" s="9" t="s">
        <v>15</v>
      </c>
      <c r="M28" t="str">
        <f t="shared" si="0"/>
        <v>SELECT * FROM LBO_ASSIGNMENT_DETAILS WHERE warehouseId='CBT01'  AND YEAR(editTime) &lt; 2021;</v>
      </c>
    </row>
    <row r="29" spans="1:13" ht="21" x14ac:dyDescent="0.15">
      <c r="A29" s="2" t="s">
        <v>12</v>
      </c>
      <c r="B29" s="4">
        <v>453</v>
      </c>
      <c r="C29" s="6" t="s">
        <v>13</v>
      </c>
      <c r="D29" s="6" t="s">
        <v>65</v>
      </c>
      <c r="E29" s="6" t="s">
        <v>74</v>
      </c>
      <c r="F29" s="6" t="s">
        <v>74</v>
      </c>
      <c r="G29" s="6" t="s">
        <v>62</v>
      </c>
      <c r="H29" s="6" t="s">
        <v>74</v>
      </c>
      <c r="I29" s="6" t="s">
        <v>63</v>
      </c>
      <c r="J29" s="6" t="s">
        <v>74</v>
      </c>
      <c r="K29" s="6" t="s">
        <v>19</v>
      </c>
      <c r="L29" s="8" t="s">
        <v>15</v>
      </c>
      <c r="M29" t="str">
        <f t="shared" si="0"/>
        <v>SELECT * FROM LBO_ASSIGNMENT_SUBDETAILS WHERE warehouseId='CBT01'  AND YEAR(editTime) &lt; 2021;</v>
      </c>
    </row>
    <row r="30" spans="1:13" ht="21" x14ac:dyDescent="0.15">
      <c r="A30" s="3" t="s">
        <v>12</v>
      </c>
      <c r="B30" s="5">
        <v>454</v>
      </c>
      <c r="C30" s="7" t="s">
        <v>13</v>
      </c>
      <c r="D30" s="7" t="s">
        <v>66</v>
      </c>
      <c r="E30" s="7" t="s">
        <v>74</v>
      </c>
      <c r="F30" s="7" t="s">
        <v>15</v>
      </c>
      <c r="G30" s="7" t="s">
        <v>67</v>
      </c>
      <c r="H30" s="7" t="s">
        <v>67</v>
      </c>
      <c r="I30" s="7" t="s">
        <v>68</v>
      </c>
      <c r="J30" s="7" t="s">
        <v>74</v>
      </c>
      <c r="K30" s="7" t="s">
        <v>19</v>
      </c>
      <c r="L30" s="9" t="s">
        <v>15</v>
      </c>
      <c r="M30" t="str">
        <f t="shared" si="0"/>
        <v>SELECT * FROM DOC_KIT_HEADER WHERE warehouseId='CBT01'  AND YEAR(editTime) &lt; 2021;</v>
      </c>
    </row>
    <row r="31" spans="1:13" ht="21" x14ac:dyDescent="0.15">
      <c r="A31" s="2" t="s">
        <v>12</v>
      </c>
      <c r="B31" s="4">
        <v>455</v>
      </c>
      <c r="C31" s="6" t="s">
        <v>13</v>
      </c>
      <c r="D31" s="6" t="s">
        <v>69</v>
      </c>
      <c r="E31" s="6" t="s">
        <v>74</v>
      </c>
      <c r="F31" s="6" t="s">
        <v>74</v>
      </c>
      <c r="G31" s="6" t="s">
        <v>67</v>
      </c>
      <c r="H31" s="6" t="s">
        <v>74</v>
      </c>
      <c r="I31" s="6" t="s">
        <v>68</v>
      </c>
      <c r="J31" s="6" t="s">
        <v>74</v>
      </c>
      <c r="K31" s="6" t="s">
        <v>19</v>
      </c>
      <c r="L31" s="8" t="s">
        <v>15</v>
      </c>
      <c r="M31" t="str">
        <f t="shared" si="0"/>
        <v>SELECT * FROM DOC_KIT_DETAILS WHERE warehouseId='CBT01'  AND YEAR(editTime) &lt; 2021;</v>
      </c>
    </row>
    <row r="32" spans="1:13" ht="21" x14ac:dyDescent="0.15">
      <c r="A32" s="3" t="s">
        <v>12</v>
      </c>
      <c r="B32" s="5">
        <v>456</v>
      </c>
      <c r="C32" s="7" t="s">
        <v>13</v>
      </c>
      <c r="D32" s="7" t="s">
        <v>70</v>
      </c>
      <c r="E32" s="7" t="s">
        <v>74</v>
      </c>
      <c r="F32" s="7" t="s">
        <v>74</v>
      </c>
      <c r="G32" s="7" t="s">
        <v>67</v>
      </c>
      <c r="H32" s="7" t="s">
        <v>74</v>
      </c>
      <c r="I32" s="7" t="s">
        <v>68</v>
      </c>
      <c r="J32" s="7" t="s">
        <v>74</v>
      </c>
      <c r="K32" s="7" t="s">
        <v>19</v>
      </c>
      <c r="L32" s="9" t="s">
        <v>15</v>
      </c>
      <c r="M32" t="str">
        <f t="shared" si="0"/>
        <v>SELECT * FROM DOC_KIT_SUBDETAILS WHERE warehouseId='CBT01'  AND YEAR(editTime) &lt; 2021;</v>
      </c>
    </row>
    <row r="33" spans="1:13" ht="21" x14ac:dyDescent="0.15">
      <c r="A33" s="2" t="s">
        <v>12</v>
      </c>
      <c r="B33" s="4">
        <v>5002</v>
      </c>
      <c r="C33" s="6" t="s">
        <v>13</v>
      </c>
      <c r="D33" s="6" t="s">
        <v>71</v>
      </c>
      <c r="E33" s="6" t="s">
        <v>74</v>
      </c>
      <c r="F33" s="6" t="s">
        <v>15</v>
      </c>
      <c r="G33" s="6" t="s">
        <v>72</v>
      </c>
      <c r="H33" s="6" t="s">
        <v>72</v>
      </c>
      <c r="I33" s="6" t="s">
        <v>72</v>
      </c>
      <c r="J33" s="6" t="s">
        <v>74</v>
      </c>
      <c r="K33" s="6" t="s">
        <v>19</v>
      </c>
      <c r="L33" s="8" t="s">
        <v>73</v>
      </c>
      <c r="M33" t="str">
        <f t="shared" si="0"/>
        <v>SELECT * FROM Z_InventoryBalance WHERE warehouseId='CBT01'  AND YEAR(editTime) &lt; 2021;</v>
      </c>
    </row>
  </sheetData>
  <autoFilter ref="A1:L1" xr:uid="{00000000-0001-0000-0000-000000000000}"/>
  <pageMargins left="0.78740157480314965" right="0.39370078740157483" top="0.78740157480314965" bottom="0.78740157480314965" header="0.39370078740157483" footer="0.39370078740157483"/>
  <pageSetup paperSize="0" scale="0" orientation="portrait" usePrinterDefaults="0" useFirstPageNumber="1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expdata</vt:lpstr>
    </vt:vector>
  </TitlesOfParts>
  <Company>Devart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Ardiansah  Akbar</cp:lastModifiedBy>
  <dcterms:modified xsi:type="dcterms:W3CDTF">2023-10-27T15:37:55Z</dcterms:modified>
</cp:coreProperties>
</file>