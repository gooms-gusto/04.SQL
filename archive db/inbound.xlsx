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cgrp-my.sharepoint.com/personal/m_ardiansah_lincgrp_com/Documents/04.SQL/archive db/"/>
    </mc:Choice>
  </mc:AlternateContent>
  <xr:revisionPtr revIDLastSave="5" documentId="11_20DFAABEBCEB50C90B5C1BEDE5D14FB34074B0C0" xr6:coauthVersionLast="47" xr6:coauthVersionMax="47" xr10:uidLastSave="{6482008F-2B5B-47FA-AD3C-5C25E203A886}"/>
  <bookViews>
    <workbookView xWindow="-120" yWindow="-120" windowWidth="29040" windowHeight="15720" xr2:uid="{00000000-000D-0000-FFFF-FFFF00000000}"/>
  </bookViews>
  <sheets>
    <sheet name="exp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2" i="1"/>
</calcChain>
</file>

<file path=xl/sharedStrings.xml><?xml version="1.0" encoding="utf-8"?>
<sst xmlns="http://schemas.openxmlformats.org/spreadsheetml/2006/main" count="475" uniqueCount="83">
  <si>
    <t>organizationId</t>
  </si>
  <si>
    <t>seqNo</t>
  </si>
  <si>
    <t>archiveCatagery</t>
  </si>
  <si>
    <t>tableName</t>
  </si>
  <si>
    <t>tableDesc</t>
  </si>
  <si>
    <t>groupFlag</t>
  </si>
  <si>
    <t>codeId</t>
  </si>
  <si>
    <t>groupCodeId</t>
  </si>
  <si>
    <t>joinFeild</t>
  </si>
  <si>
    <t>whereCondition</t>
  </si>
  <si>
    <t>archiveMode</t>
  </si>
  <si>
    <t>activeFlag</t>
  </si>
  <si>
    <t>OJV_CML</t>
  </si>
  <si>
    <t>INBOUND</t>
  </si>
  <si>
    <t>DOC_PO_HEADER</t>
  </si>
  <si>
    <t>Y</t>
  </si>
  <si>
    <t>PONO</t>
  </si>
  <si>
    <t>poNo</t>
  </si>
  <si>
    <t>poStatus &gt;= '90'</t>
  </si>
  <si>
    <t>2</t>
  </si>
  <si>
    <t>DOC_PO_HEADER_UDF</t>
  </si>
  <si>
    <t>DOC_PO_DETAILS</t>
  </si>
  <si>
    <t>DOC_PO_DETAILS_UDF</t>
  </si>
  <si>
    <t>DOC_ASN_HEADER</t>
  </si>
  <si>
    <t>ASNNO</t>
  </si>
  <si>
    <t>asnNo</t>
  </si>
  <si>
    <t>asnStatus &gt;= '90'</t>
  </si>
  <si>
    <t>DOC_APPOINTMENT_DETAILS</t>
  </si>
  <si>
    <t>APPOINTMENTNO</t>
  </si>
  <si>
    <t>docNo</t>
  </si>
  <si>
    <t>DOC_APPOINTMENT_HEADER</t>
  </si>
  <si>
    <t>appointmentNo</t>
  </si>
  <si>
    <t>appStatus &gt;= '90'</t>
  </si>
  <si>
    <t>DOC_APPOINTMENT_SUBDETAILS</t>
  </si>
  <si>
    <t>DOC_ASNGROUP_DETAILS</t>
  </si>
  <si>
    <t>ASNGROUPNO</t>
  </si>
  <si>
    <t>N</t>
  </si>
  <si>
    <t>DOC_ASNGROUP_DETAILS_UDF</t>
  </si>
  <si>
    <t>asnGroupNo</t>
  </si>
  <si>
    <t>DOC_ASNGROUP_HEADER_UDF</t>
  </si>
  <si>
    <t>DOC_ASNGROUP_HEADER</t>
  </si>
  <si>
    <t>KPI_PUTTOLIGHT</t>
  </si>
  <si>
    <t>waveNo</t>
  </si>
  <si>
    <t>DOC_ASN_HEADER_UDF</t>
  </si>
  <si>
    <t>DOC_ASN_DETAILS</t>
  </si>
  <si>
    <t>DOC_ASN_DETAILS_UDF</t>
  </si>
  <si>
    <t>DOC_ASN_DETAILS_ACCESSORY</t>
  </si>
  <si>
    <t>DOC_ASN_DETAILS_PACKMATERIAL</t>
  </si>
  <si>
    <t>DOC_ASN_APPOINTMENT</t>
  </si>
  <si>
    <t>DOC_ASN_CHECKITEMS</t>
  </si>
  <si>
    <t>DOC_ASN_CONTAINER</t>
  </si>
  <si>
    <t>DOC_ASN_CONTAINER_UDF</t>
  </si>
  <si>
    <t>DOC_ASN_EXCEPTION</t>
  </si>
  <si>
    <t>DOC_ASN_FEE</t>
  </si>
  <si>
    <t>DOC_ASN_INBOUND</t>
  </si>
  <si>
    <t>DOC_ASN_OPERATIONLOG</t>
  </si>
  <si>
    <t>DOC_ASN_PREPALLETIZE</t>
  </si>
  <si>
    <t>DOC_ASN_VAS</t>
  </si>
  <si>
    <t>TSK_TASKLISTS</t>
  </si>
  <si>
    <t>taskType = 'PA'</t>
  </si>
  <si>
    <t>ACT_TRANSACTION_LOG</t>
  </si>
  <si>
    <t>transactionType='IN'</t>
  </si>
  <si>
    <t>DOC_ASN_SERIALNO</t>
  </si>
  <si>
    <t>stockFlag = 'N'</t>
  </si>
  <si>
    <t>DOC_ASN_SUBSERIALNO</t>
  </si>
  <si>
    <t>DOC_TRACE_DETAILS</t>
  </si>
  <si>
    <t>DOC_QC_HEADER</t>
  </si>
  <si>
    <t>QCNO</t>
  </si>
  <si>
    <t>DOC_QC_HEADER_UDF</t>
  </si>
  <si>
    <t>qcNo</t>
  </si>
  <si>
    <t>DOC_QC_DETAILS</t>
  </si>
  <si>
    <t>DOC_QC_DETAILS_UDF</t>
  </si>
  <si>
    <t>ACT_QC_TRANSACTION</t>
  </si>
  <si>
    <t>DOC_QV_HEADER</t>
  </si>
  <si>
    <t>抽检</t>
  </si>
  <si>
    <t>QVNO</t>
  </si>
  <si>
    <t>qvNo</t>
  </si>
  <si>
    <t>qvStatus &gt;= '90'</t>
  </si>
  <si>
    <t>DOC_QV_HEADER_UDF</t>
  </si>
  <si>
    <t>DOC_QV_DETAILS</t>
  </si>
  <si>
    <t>DOC_QV_DETAILS_UDF</t>
  </si>
  <si>
    <t/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</si>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</sst>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/>
    <xf numFmtId="0" fontId="0" fillId="2" borderId="2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164" fontId="0" fillId="2" borderId="4" xfId="0" applyNumberFormat="1" applyFill="1" applyBorder="1" applyAlignment="1">
      <alignment horizontal="left" vertical="top" wrapText="1"/>
    </xf>
    <xf numFmtId="164" fontId="1" fillId="3" borderId="4" xfId="0" applyNumberFormat="1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0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topLeftCell="A18" workbookViewId="0">
      <selection activeCell="M2" sqref="M2:M43"/>
    </sheetView>
  </sheetViews>
  <sheetFormatPr defaultRowHeight="15" x14ac:dyDescent="0.15"/>
  <cols>
    <col min="1" max="1" width="20.1640625" bestFit="1" customWidth="1"/>
    <col min="2" max="2" width="16" bestFit="1" customWidth="1"/>
    <col min="3" max="3" width="22.5" bestFit="1" customWidth="1"/>
    <col min="4" max="4" width="33.1640625" customWidth="1"/>
    <col min="5" max="7" width="16" bestFit="1" customWidth="1"/>
    <col min="8" max="8" width="18.1640625" bestFit="1" customWidth="1"/>
    <col min="9" max="9" width="16" bestFit="1" customWidth="1"/>
    <col min="10" max="10" width="21.83203125" bestFit="1" customWidth="1"/>
    <col min="11" max="11" width="11.33203125" bestFit="1" customWidth="1"/>
    <col min="12" max="12" width="16" bestFit="1" customWidth="1"/>
  </cols>
  <sheetData>
    <row r="1" spans="1:13" ht="10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82</v>
      </c>
    </row>
    <row r="2" spans="1:13" ht="10.5" x14ac:dyDescent="0.15">
      <c r="A2" s="3" t="s">
        <v>12</v>
      </c>
      <c r="B2" s="5">
        <v>360</v>
      </c>
      <c r="C2" s="7" t="s">
        <v>13</v>
      </c>
      <c r="D2" s="7" t="s">
        <v>14</v>
      </c>
      <c r="E2" s="7" t="s">
        <v>81</v>
      </c>
      <c r="F2" s="7" t="s">
        <v>15</v>
      </c>
      <c r="G2" s="7" t="s">
        <v>16</v>
      </c>
      <c r="H2" s="7" t="s">
        <v>16</v>
      </c>
      <c r="I2" s="7" t="s">
        <v>17</v>
      </c>
      <c r="J2" s="7" t="s">
        <v>18</v>
      </c>
      <c r="K2" s="7" t="s">
        <v>19</v>
      </c>
      <c r="L2" s="9" t="s">
        <v>15</v>
      </c>
      <c r="M2" t="str">
        <f>CONCATENATE("SELECT * FROM ",D2," WHERE warehouseId='CBT01'  AND YEAR(editTime) &lt; 2021;")</f>
        <v>SELECT * FROM DOC_PO_HEADER WHERE warehouseId='CBT01'  AND YEAR(editTime) &lt; 2021;</v>
      </c>
    </row>
    <row r="3" spans="1:13" ht="21" x14ac:dyDescent="0.15">
      <c r="A3" s="2" t="s">
        <v>12</v>
      </c>
      <c r="B3" s="4">
        <v>361</v>
      </c>
      <c r="C3" s="6" t="s">
        <v>13</v>
      </c>
      <c r="D3" s="6" t="s">
        <v>20</v>
      </c>
      <c r="E3" s="6" t="s">
        <v>81</v>
      </c>
      <c r="F3" s="6" t="s">
        <v>81</v>
      </c>
      <c r="G3" s="6" t="s">
        <v>16</v>
      </c>
      <c r="H3" s="6" t="s">
        <v>81</v>
      </c>
      <c r="I3" s="6" t="s">
        <v>17</v>
      </c>
      <c r="J3" s="6" t="s">
        <v>81</v>
      </c>
      <c r="K3" s="6" t="s">
        <v>19</v>
      </c>
      <c r="L3" s="8" t="s">
        <v>15</v>
      </c>
      <c r="M3" t="str">
        <f t="shared" ref="M3:M43" si="0">CONCATENATE("SELECT * FROM ",D3," WHERE warehouseId='CBT01'  AND YEAR(editTime) &lt; 2021;")</f>
        <v>SELECT * FROM DOC_PO_HEADER_UDF WHERE warehouseId='CBT01'  AND YEAR(editTime) &lt; 2021;</v>
      </c>
    </row>
    <row r="4" spans="1:13" ht="21" x14ac:dyDescent="0.15">
      <c r="A4" s="3" t="s">
        <v>12</v>
      </c>
      <c r="B4" s="5">
        <v>362</v>
      </c>
      <c r="C4" s="7" t="s">
        <v>13</v>
      </c>
      <c r="D4" s="7" t="s">
        <v>21</v>
      </c>
      <c r="E4" s="7" t="s">
        <v>81</v>
      </c>
      <c r="F4" s="7" t="s">
        <v>81</v>
      </c>
      <c r="G4" s="7" t="s">
        <v>16</v>
      </c>
      <c r="H4" s="7" t="s">
        <v>81</v>
      </c>
      <c r="I4" s="7" t="s">
        <v>17</v>
      </c>
      <c r="J4" s="7" t="s">
        <v>81</v>
      </c>
      <c r="K4" s="7" t="s">
        <v>19</v>
      </c>
      <c r="L4" s="9" t="s">
        <v>15</v>
      </c>
      <c r="M4" t="str">
        <f t="shared" si="0"/>
        <v>SELECT * FROM DOC_PO_DETAILS WHERE warehouseId='CBT01'  AND YEAR(editTime) &lt; 2021;</v>
      </c>
    </row>
    <row r="5" spans="1:13" ht="21" x14ac:dyDescent="0.15">
      <c r="A5" s="2" t="s">
        <v>12</v>
      </c>
      <c r="B5" s="4">
        <v>363</v>
      </c>
      <c r="C5" s="6" t="s">
        <v>13</v>
      </c>
      <c r="D5" s="6" t="s">
        <v>22</v>
      </c>
      <c r="E5" s="6" t="s">
        <v>81</v>
      </c>
      <c r="F5" s="6" t="s">
        <v>81</v>
      </c>
      <c r="G5" s="6" t="s">
        <v>16</v>
      </c>
      <c r="H5" s="6" t="s">
        <v>81</v>
      </c>
      <c r="I5" s="6" t="s">
        <v>17</v>
      </c>
      <c r="J5" s="6" t="s">
        <v>81</v>
      </c>
      <c r="K5" s="6" t="s">
        <v>19</v>
      </c>
      <c r="L5" s="8" t="s">
        <v>15</v>
      </c>
      <c r="M5" t="str">
        <f t="shared" si="0"/>
        <v>SELECT * FROM DOC_PO_DETAILS_UDF WHERE warehouseId='CBT01'  AND YEAR(editTime) &lt; 2021;</v>
      </c>
    </row>
    <row r="6" spans="1:13" ht="21" x14ac:dyDescent="0.15">
      <c r="A6" s="3" t="s">
        <v>12</v>
      </c>
      <c r="B6" s="5">
        <v>364</v>
      </c>
      <c r="C6" s="7" t="s">
        <v>13</v>
      </c>
      <c r="D6" s="7" t="s">
        <v>23</v>
      </c>
      <c r="E6" s="7" t="s">
        <v>81</v>
      </c>
      <c r="F6" s="7" t="s">
        <v>15</v>
      </c>
      <c r="G6" s="7" t="s">
        <v>24</v>
      </c>
      <c r="H6" s="7" t="s">
        <v>24</v>
      </c>
      <c r="I6" s="7" t="s">
        <v>25</v>
      </c>
      <c r="J6" s="7" t="s">
        <v>26</v>
      </c>
      <c r="K6" s="7" t="s">
        <v>19</v>
      </c>
      <c r="L6" s="9" t="s">
        <v>15</v>
      </c>
      <c r="M6" t="str">
        <f t="shared" si="0"/>
        <v>SELECT * FROM DOC_ASN_HEADER WHERE warehouseId='CBT01'  AND YEAR(editTime) &lt; 2021;</v>
      </c>
    </row>
    <row r="7" spans="1:13" ht="21" x14ac:dyDescent="0.15">
      <c r="A7" s="2" t="s">
        <v>12</v>
      </c>
      <c r="B7" s="4">
        <v>365</v>
      </c>
      <c r="C7" s="6" t="s">
        <v>13</v>
      </c>
      <c r="D7" s="6" t="s">
        <v>27</v>
      </c>
      <c r="E7" s="6" t="s">
        <v>81</v>
      </c>
      <c r="F7" s="6" t="s">
        <v>15</v>
      </c>
      <c r="G7" s="6" t="s">
        <v>16</v>
      </c>
      <c r="H7" s="6" t="s">
        <v>28</v>
      </c>
      <c r="I7" s="6" t="s">
        <v>29</v>
      </c>
      <c r="J7" s="6" t="s">
        <v>81</v>
      </c>
      <c r="K7" s="6" t="s">
        <v>19</v>
      </c>
      <c r="L7" s="8" t="s">
        <v>15</v>
      </c>
      <c r="M7" t="str">
        <f t="shared" si="0"/>
        <v>SELECT * FROM DOC_APPOINTMENT_DETAILS WHERE warehouseId='CBT01'  AND YEAR(editTime) &lt; 2021;</v>
      </c>
    </row>
    <row r="8" spans="1:13" ht="21" x14ac:dyDescent="0.15">
      <c r="A8" s="3" t="s">
        <v>12</v>
      </c>
      <c r="B8" s="5">
        <v>366</v>
      </c>
      <c r="C8" s="7" t="s">
        <v>13</v>
      </c>
      <c r="D8" s="7" t="s">
        <v>30</v>
      </c>
      <c r="E8" s="7" t="s">
        <v>81</v>
      </c>
      <c r="F8" s="7" t="s">
        <v>81</v>
      </c>
      <c r="G8" s="7" t="s">
        <v>28</v>
      </c>
      <c r="H8" s="7" t="s">
        <v>81</v>
      </c>
      <c r="I8" s="7" t="s">
        <v>31</v>
      </c>
      <c r="J8" s="7" t="s">
        <v>32</v>
      </c>
      <c r="K8" s="7" t="s">
        <v>19</v>
      </c>
      <c r="L8" s="9" t="s">
        <v>15</v>
      </c>
      <c r="M8" t="str">
        <f t="shared" si="0"/>
        <v>SELECT * FROM DOC_APPOINTMENT_HEADER WHERE warehouseId='CBT01'  AND YEAR(editTime) &lt; 2021;</v>
      </c>
    </row>
    <row r="9" spans="1:13" ht="21" x14ac:dyDescent="0.15">
      <c r="A9" s="2" t="s">
        <v>12</v>
      </c>
      <c r="B9" s="4">
        <v>367</v>
      </c>
      <c r="C9" s="6" t="s">
        <v>13</v>
      </c>
      <c r="D9" s="6" t="s">
        <v>33</v>
      </c>
      <c r="E9" s="6" t="s">
        <v>81</v>
      </c>
      <c r="F9" s="6" t="s">
        <v>81</v>
      </c>
      <c r="G9" s="6" t="s">
        <v>28</v>
      </c>
      <c r="H9" s="6" t="s">
        <v>81</v>
      </c>
      <c r="I9" s="6" t="s">
        <v>31</v>
      </c>
      <c r="J9" s="6" t="s">
        <v>81</v>
      </c>
      <c r="K9" s="6" t="s">
        <v>19</v>
      </c>
      <c r="L9" s="8" t="s">
        <v>15</v>
      </c>
      <c r="M9" t="str">
        <f t="shared" si="0"/>
        <v>SELECT * FROM DOC_APPOINTMENT_SUBDETAILS WHERE warehouseId='CBT01'  AND YEAR(editTime) &lt; 2021;</v>
      </c>
    </row>
    <row r="10" spans="1:13" ht="21" x14ac:dyDescent="0.15">
      <c r="A10" s="3" t="s">
        <v>12</v>
      </c>
      <c r="B10" s="5">
        <v>368</v>
      </c>
      <c r="C10" s="7" t="s">
        <v>13</v>
      </c>
      <c r="D10" s="7" t="s">
        <v>34</v>
      </c>
      <c r="E10" s="7" t="s">
        <v>81</v>
      </c>
      <c r="F10" s="7" t="s">
        <v>15</v>
      </c>
      <c r="G10" s="7" t="s">
        <v>24</v>
      </c>
      <c r="H10" s="7" t="s">
        <v>35</v>
      </c>
      <c r="I10" s="7" t="s">
        <v>25</v>
      </c>
      <c r="J10" s="7" t="s">
        <v>81</v>
      </c>
      <c r="K10" s="7" t="s">
        <v>19</v>
      </c>
      <c r="L10" s="9" t="s">
        <v>36</v>
      </c>
      <c r="M10" t="str">
        <f t="shared" si="0"/>
        <v>SELECT * FROM DOC_ASNGROUP_DETAILS WHERE warehouseId='CBT01'  AND YEAR(editTime) &lt; 2021;</v>
      </c>
    </row>
    <row r="11" spans="1:13" ht="21" x14ac:dyDescent="0.15">
      <c r="A11" s="2" t="s">
        <v>12</v>
      </c>
      <c r="B11" s="4">
        <v>369</v>
      </c>
      <c r="C11" s="6" t="s">
        <v>13</v>
      </c>
      <c r="D11" s="6" t="s">
        <v>37</v>
      </c>
      <c r="E11" s="6" t="s">
        <v>81</v>
      </c>
      <c r="F11" s="6" t="s">
        <v>81</v>
      </c>
      <c r="G11" s="6" t="s">
        <v>35</v>
      </c>
      <c r="H11" s="6" t="s">
        <v>81</v>
      </c>
      <c r="I11" s="6" t="s">
        <v>38</v>
      </c>
      <c r="J11" s="6" t="s">
        <v>81</v>
      </c>
      <c r="K11" s="6" t="s">
        <v>19</v>
      </c>
      <c r="L11" s="8" t="s">
        <v>36</v>
      </c>
      <c r="M11" t="str">
        <f t="shared" si="0"/>
        <v>SELECT * FROM DOC_ASNGROUP_DETAILS_UDF WHERE warehouseId='CBT01'  AND YEAR(editTime) &lt; 2021;</v>
      </c>
    </row>
    <row r="12" spans="1:13" ht="21" x14ac:dyDescent="0.15">
      <c r="A12" s="3" t="s">
        <v>12</v>
      </c>
      <c r="B12" s="5">
        <v>370</v>
      </c>
      <c r="C12" s="7" t="s">
        <v>13</v>
      </c>
      <c r="D12" s="7" t="s">
        <v>39</v>
      </c>
      <c r="E12" s="7" t="s">
        <v>81</v>
      </c>
      <c r="F12" s="7" t="s">
        <v>81</v>
      </c>
      <c r="G12" s="7" t="s">
        <v>35</v>
      </c>
      <c r="H12" s="7" t="s">
        <v>81</v>
      </c>
      <c r="I12" s="7" t="s">
        <v>38</v>
      </c>
      <c r="J12" s="7" t="s">
        <v>81</v>
      </c>
      <c r="K12" s="7" t="s">
        <v>19</v>
      </c>
      <c r="L12" s="9" t="s">
        <v>36</v>
      </c>
      <c r="M12" t="str">
        <f t="shared" si="0"/>
        <v>SELECT * FROM DOC_ASNGROUP_HEADER_UDF WHERE warehouseId='CBT01'  AND YEAR(editTime) &lt; 2021;</v>
      </c>
    </row>
    <row r="13" spans="1:13" ht="21" x14ac:dyDescent="0.15">
      <c r="A13" s="2" t="s">
        <v>12</v>
      </c>
      <c r="B13" s="4">
        <v>371</v>
      </c>
      <c r="C13" s="6" t="s">
        <v>13</v>
      </c>
      <c r="D13" s="6" t="s">
        <v>40</v>
      </c>
      <c r="E13" s="6" t="s">
        <v>81</v>
      </c>
      <c r="F13" s="6" t="s">
        <v>81</v>
      </c>
      <c r="G13" s="6" t="s">
        <v>35</v>
      </c>
      <c r="H13" s="6" t="s">
        <v>81</v>
      </c>
      <c r="I13" s="6" t="s">
        <v>38</v>
      </c>
      <c r="J13" s="6" t="s">
        <v>81</v>
      </c>
      <c r="K13" s="6" t="s">
        <v>19</v>
      </c>
      <c r="L13" s="8" t="s">
        <v>36</v>
      </c>
      <c r="M13" t="str">
        <f t="shared" si="0"/>
        <v>SELECT * FROM DOC_ASNGROUP_HEADER WHERE warehouseId='CBT01'  AND YEAR(editTime) &lt; 2021;</v>
      </c>
    </row>
    <row r="14" spans="1:13" ht="10.5" x14ac:dyDescent="0.15">
      <c r="A14" s="3" t="s">
        <v>12</v>
      </c>
      <c r="B14" s="5">
        <v>372</v>
      </c>
      <c r="C14" s="7" t="s">
        <v>13</v>
      </c>
      <c r="D14" s="7" t="s">
        <v>41</v>
      </c>
      <c r="E14" s="7" t="s">
        <v>81</v>
      </c>
      <c r="F14" s="7" t="s">
        <v>81</v>
      </c>
      <c r="G14" s="7" t="s">
        <v>35</v>
      </c>
      <c r="H14" s="7" t="s">
        <v>81</v>
      </c>
      <c r="I14" s="7" t="s">
        <v>42</v>
      </c>
      <c r="J14" s="7" t="s">
        <v>81</v>
      </c>
      <c r="K14" s="7" t="s">
        <v>19</v>
      </c>
      <c r="L14" s="9" t="s">
        <v>15</v>
      </c>
      <c r="M14" t="str">
        <f t="shared" si="0"/>
        <v>SELECT * FROM KPI_PUTTOLIGHT WHERE warehouseId='CBT01'  AND YEAR(editTime) &lt; 2021;</v>
      </c>
    </row>
    <row r="15" spans="1:13" ht="21" x14ac:dyDescent="0.15">
      <c r="A15" s="2" t="s">
        <v>12</v>
      </c>
      <c r="B15" s="4">
        <v>373</v>
      </c>
      <c r="C15" s="6" t="s">
        <v>13</v>
      </c>
      <c r="D15" s="6" t="s">
        <v>43</v>
      </c>
      <c r="E15" s="6" t="s">
        <v>81</v>
      </c>
      <c r="F15" s="6" t="s">
        <v>81</v>
      </c>
      <c r="G15" s="6" t="s">
        <v>24</v>
      </c>
      <c r="H15" s="6" t="s">
        <v>81</v>
      </c>
      <c r="I15" s="6" t="s">
        <v>25</v>
      </c>
      <c r="J15" s="6" t="s">
        <v>81</v>
      </c>
      <c r="K15" s="6" t="s">
        <v>19</v>
      </c>
      <c r="L15" s="8" t="s">
        <v>15</v>
      </c>
      <c r="M15" t="str">
        <f t="shared" si="0"/>
        <v>SELECT * FROM DOC_ASN_HEADER_UDF WHERE warehouseId='CBT01'  AND YEAR(editTime) &lt; 2021;</v>
      </c>
    </row>
    <row r="16" spans="1:13" ht="21" x14ac:dyDescent="0.15">
      <c r="A16" s="3" t="s">
        <v>12</v>
      </c>
      <c r="B16" s="5">
        <v>374</v>
      </c>
      <c r="C16" s="7" t="s">
        <v>13</v>
      </c>
      <c r="D16" s="7" t="s">
        <v>44</v>
      </c>
      <c r="E16" s="7" t="s">
        <v>81</v>
      </c>
      <c r="F16" s="7" t="s">
        <v>81</v>
      </c>
      <c r="G16" s="7" t="s">
        <v>24</v>
      </c>
      <c r="H16" s="7" t="s">
        <v>81</v>
      </c>
      <c r="I16" s="7" t="s">
        <v>25</v>
      </c>
      <c r="J16" s="7" t="s">
        <v>81</v>
      </c>
      <c r="K16" s="7" t="s">
        <v>19</v>
      </c>
      <c r="L16" s="9" t="s">
        <v>15</v>
      </c>
      <c r="M16" t="str">
        <f t="shared" si="0"/>
        <v>SELECT * FROM DOC_ASN_DETAILS WHERE warehouseId='CBT01'  AND YEAR(editTime) &lt; 2021;</v>
      </c>
    </row>
    <row r="17" spans="1:13" ht="21" x14ac:dyDescent="0.15">
      <c r="A17" s="2" t="s">
        <v>12</v>
      </c>
      <c r="B17" s="4">
        <v>375</v>
      </c>
      <c r="C17" s="6" t="s">
        <v>13</v>
      </c>
      <c r="D17" s="6" t="s">
        <v>45</v>
      </c>
      <c r="E17" s="6" t="s">
        <v>81</v>
      </c>
      <c r="F17" s="6" t="s">
        <v>81</v>
      </c>
      <c r="G17" s="6" t="s">
        <v>24</v>
      </c>
      <c r="H17" s="6" t="s">
        <v>81</v>
      </c>
      <c r="I17" s="6" t="s">
        <v>25</v>
      </c>
      <c r="J17" s="6" t="s">
        <v>81</v>
      </c>
      <c r="K17" s="6" t="s">
        <v>19</v>
      </c>
      <c r="L17" s="8" t="s">
        <v>15</v>
      </c>
      <c r="M17" t="str">
        <f t="shared" si="0"/>
        <v>SELECT * FROM DOC_ASN_DETAILS_UDF WHERE warehouseId='CBT01'  AND YEAR(editTime) &lt; 2021;</v>
      </c>
    </row>
    <row r="18" spans="1:13" ht="21" x14ac:dyDescent="0.15">
      <c r="A18" s="3" t="s">
        <v>12</v>
      </c>
      <c r="B18" s="5">
        <v>376</v>
      </c>
      <c r="C18" s="7" t="s">
        <v>13</v>
      </c>
      <c r="D18" s="7" t="s">
        <v>46</v>
      </c>
      <c r="E18" s="7" t="s">
        <v>81</v>
      </c>
      <c r="F18" s="7" t="s">
        <v>81</v>
      </c>
      <c r="G18" s="7" t="s">
        <v>24</v>
      </c>
      <c r="H18" s="7" t="s">
        <v>81</v>
      </c>
      <c r="I18" s="7" t="s">
        <v>25</v>
      </c>
      <c r="J18" s="7" t="s">
        <v>81</v>
      </c>
      <c r="K18" s="7" t="s">
        <v>19</v>
      </c>
      <c r="L18" s="9" t="s">
        <v>36</v>
      </c>
      <c r="M18" t="str">
        <f t="shared" si="0"/>
        <v>SELECT * FROM DOC_ASN_DETAILS_ACCESSORY WHERE warehouseId='CBT01'  AND YEAR(editTime) &lt; 2021;</v>
      </c>
    </row>
    <row r="19" spans="1:13" ht="31.5" x14ac:dyDescent="0.15">
      <c r="A19" s="2" t="s">
        <v>12</v>
      </c>
      <c r="B19" s="4">
        <v>377</v>
      </c>
      <c r="C19" s="6" t="s">
        <v>13</v>
      </c>
      <c r="D19" s="6" t="s">
        <v>47</v>
      </c>
      <c r="E19" s="6" t="s">
        <v>81</v>
      </c>
      <c r="F19" s="6" t="s">
        <v>81</v>
      </c>
      <c r="G19" s="6" t="s">
        <v>24</v>
      </c>
      <c r="H19" s="6" t="s">
        <v>81</v>
      </c>
      <c r="I19" s="6" t="s">
        <v>25</v>
      </c>
      <c r="J19" s="6" t="s">
        <v>81</v>
      </c>
      <c r="K19" s="6" t="s">
        <v>19</v>
      </c>
      <c r="L19" s="8" t="s">
        <v>36</v>
      </c>
      <c r="M19" t="str">
        <f t="shared" si="0"/>
        <v>SELECT * FROM DOC_ASN_DETAILS_PACKMATERIAL WHERE warehouseId='CBT01'  AND YEAR(editTime) &lt; 2021;</v>
      </c>
    </row>
    <row r="20" spans="1:13" ht="21" x14ac:dyDescent="0.15">
      <c r="A20" s="3" t="s">
        <v>12</v>
      </c>
      <c r="B20" s="5">
        <v>378</v>
      </c>
      <c r="C20" s="7" t="s">
        <v>13</v>
      </c>
      <c r="D20" s="7" t="s">
        <v>48</v>
      </c>
      <c r="E20" s="7" t="s">
        <v>81</v>
      </c>
      <c r="F20" s="7" t="s">
        <v>81</v>
      </c>
      <c r="G20" s="7" t="s">
        <v>24</v>
      </c>
      <c r="H20" s="7" t="s">
        <v>81</v>
      </c>
      <c r="I20" s="7" t="s">
        <v>25</v>
      </c>
      <c r="J20" s="7" t="s">
        <v>81</v>
      </c>
      <c r="K20" s="7" t="s">
        <v>19</v>
      </c>
      <c r="L20" s="9" t="s">
        <v>36</v>
      </c>
      <c r="M20" t="str">
        <f t="shared" si="0"/>
        <v>SELECT * FROM DOC_ASN_APPOINTMENT WHERE warehouseId='CBT01'  AND YEAR(editTime) &lt; 2021;</v>
      </c>
    </row>
    <row r="21" spans="1:13" ht="21" x14ac:dyDescent="0.15">
      <c r="A21" s="2" t="s">
        <v>12</v>
      </c>
      <c r="B21" s="4">
        <v>379</v>
      </c>
      <c r="C21" s="6" t="s">
        <v>13</v>
      </c>
      <c r="D21" s="6" t="s">
        <v>49</v>
      </c>
      <c r="E21" s="6" t="s">
        <v>81</v>
      </c>
      <c r="F21" s="6" t="s">
        <v>81</v>
      </c>
      <c r="G21" s="6" t="s">
        <v>24</v>
      </c>
      <c r="H21" s="6" t="s">
        <v>81</v>
      </c>
      <c r="I21" s="6" t="s">
        <v>25</v>
      </c>
      <c r="J21" s="6" t="s">
        <v>81</v>
      </c>
      <c r="K21" s="6" t="s">
        <v>19</v>
      </c>
      <c r="L21" s="8" t="s">
        <v>36</v>
      </c>
      <c r="M21" t="str">
        <f t="shared" si="0"/>
        <v>SELECT * FROM DOC_ASN_CHECKITEMS WHERE warehouseId='CBT01'  AND YEAR(editTime) &lt; 2021;</v>
      </c>
    </row>
    <row r="22" spans="1:13" ht="21" x14ac:dyDescent="0.15">
      <c r="A22" s="3" t="s">
        <v>12</v>
      </c>
      <c r="B22" s="5">
        <v>380</v>
      </c>
      <c r="C22" s="7" t="s">
        <v>13</v>
      </c>
      <c r="D22" s="7" t="s">
        <v>50</v>
      </c>
      <c r="E22" s="7" t="s">
        <v>81</v>
      </c>
      <c r="F22" s="7" t="s">
        <v>81</v>
      </c>
      <c r="G22" s="7" t="s">
        <v>24</v>
      </c>
      <c r="H22" s="7" t="s">
        <v>81</v>
      </c>
      <c r="I22" s="7" t="s">
        <v>25</v>
      </c>
      <c r="J22" s="7" t="s">
        <v>81</v>
      </c>
      <c r="K22" s="7" t="s">
        <v>19</v>
      </c>
      <c r="L22" s="9" t="s">
        <v>36</v>
      </c>
      <c r="M22" t="str">
        <f t="shared" si="0"/>
        <v>SELECT * FROM DOC_ASN_CONTAINER WHERE warehouseId='CBT01'  AND YEAR(editTime) &lt; 2021;</v>
      </c>
    </row>
    <row r="23" spans="1:13" ht="21" x14ac:dyDescent="0.15">
      <c r="A23" s="2" t="s">
        <v>12</v>
      </c>
      <c r="B23" s="4">
        <v>381</v>
      </c>
      <c r="C23" s="6" t="s">
        <v>13</v>
      </c>
      <c r="D23" s="6" t="s">
        <v>51</v>
      </c>
      <c r="E23" s="6" t="s">
        <v>81</v>
      </c>
      <c r="F23" s="6" t="s">
        <v>81</v>
      </c>
      <c r="G23" s="6" t="s">
        <v>24</v>
      </c>
      <c r="H23" s="6" t="s">
        <v>81</v>
      </c>
      <c r="I23" s="6" t="s">
        <v>25</v>
      </c>
      <c r="J23" s="6" t="s">
        <v>81</v>
      </c>
      <c r="K23" s="6" t="s">
        <v>19</v>
      </c>
      <c r="L23" s="8" t="s">
        <v>36</v>
      </c>
      <c r="M23" t="str">
        <f t="shared" si="0"/>
        <v>SELECT * FROM DOC_ASN_CONTAINER_UDF WHERE warehouseId='CBT01'  AND YEAR(editTime) &lt; 2021;</v>
      </c>
    </row>
    <row r="24" spans="1:13" ht="21" x14ac:dyDescent="0.15">
      <c r="A24" s="3" t="s">
        <v>12</v>
      </c>
      <c r="B24" s="5">
        <v>382</v>
      </c>
      <c r="C24" s="7" t="s">
        <v>13</v>
      </c>
      <c r="D24" s="7" t="s">
        <v>52</v>
      </c>
      <c r="E24" s="7" t="s">
        <v>81</v>
      </c>
      <c r="F24" s="7" t="s">
        <v>81</v>
      </c>
      <c r="G24" s="7" t="s">
        <v>24</v>
      </c>
      <c r="H24" s="7" t="s">
        <v>81</v>
      </c>
      <c r="I24" s="7" t="s">
        <v>25</v>
      </c>
      <c r="J24" s="7" t="s">
        <v>81</v>
      </c>
      <c r="K24" s="7" t="s">
        <v>19</v>
      </c>
      <c r="L24" s="9" t="s">
        <v>15</v>
      </c>
      <c r="M24" t="str">
        <f t="shared" si="0"/>
        <v>SELECT * FROM DOC_ASN_EXCEPTION WHERE warehouseId='CBT01'  AND YEAR(editTime) &lt; 2021;</v>
      </c>
    </row>
    <row r="25" spans="1:13" ht="10.5" x14ac:dyDescent="0.15">
      <c r="A25" s="2" t="s">
        <v>12</v>
      </c>
      <c r="B25" s="4">
        <v>383</v>
      </c>
      <c r="C25" s="6" t="s">
        <v>13</v>
      </c>
      <c r="D25" s="6" t="s">
        <v>53</v>
      </c>
      <c r="E25" s="6" t="s">
        <v>81</v>
      </c>
      <c r="F25" s="6" t="s">
        <v>81</v>
      </c>
      <c r="G25" s="6" t="s">
        <v>24</v>
      </c>
      <c r="H25" s="6" t="s">
        <v>81</v>
      </c>
      <c r="I25" s="6" t="s">
        <v>25</v>
      </c>
      <c r="J25" s="6" t="s">
        <v>81</v>
      </c>
      <c r="K25" s="6" t="s">
        <v>19</v>
      </c>
      <c r="L25" s="8" t="s">
        <v>36</v>
      </c>
      <c r="M25" t="str">
        <f t="shared" si="0"/>
        <v>SELECT * FROM DOC_ASN_FEE WHERE warehouseId='CBT01'  AND YEAR(editTime) &lt; 2021;</v>
      </c>
    </row>
    <row r="26" spans="1:13" ht="21" x14ac:dyDescent="0.15">
      <c r="A26" s="3" t="s">
        <v>12</v>
      </c>
      <c r="B26" s="5">
        <v>384</v>
      </c>
      <c r="C26" s="7" t="s">
        <v>13</v>
      </c>
      <c r="D26" s="7" t="s">
        <v>54</v>
      </c>
      <c r="E26" s="7" t="s">
        <v>81</v>
      </c>
      <c r="F26" s="7" t="s">
        <v>81</v>
      </c>
      <c r="G26" s="7" t="s">
        <v>24</v>
      </c>
      <c r="H26" s="7" t="s">
        <v>81</v>
      </c>
      <c r="I26" s="7" t="s">
        <v>25</v>
      </c>
      <c r="J26" s="7" t="s">
        <v>81</v>
      </c>
      <c r="K26" s="7" t="s">
        <v>19</v>
      </c>
      <c r="L26" s="9" t="s">
        <v>15</v>
      </c>
      <c r="M26" t="str">
        <f t="shared" si="0"/>
        <v>SELECT * FROM DOC_ASN_INBOUND WHERE warehouseId='CBT01'  AND YEAR(editTime) &lt; 2021;</v>
      </c>
    </row>
    <row r="27" spans="1:13" ht="21" x14ac:dyDescent="0.15">
      <c r="A27" s="2" t="s">
        <v>12</v>
      </c>
      <c r="B27" s="4">
        <v>385</v>
      </c>
      <c r="C27" s="6" t="s">
        <v>13</v>
      </c>
      <c r="D27" s="6" t="s">
        <v>55</v>
      </c>
      <c r="E27" s="6" t="s">
        <v>81</v>
      </c>
      <c r="F27" s="6" t="s">
        <v>81</v>
      </c>
      <c r="G27" s="6" t="s">
        <v>24</v>
      </c>
      <c r="H27" s="6" t="s">
        <v>81</v>
      </c>
      <c r="I27" s="6" t="s">
        <v>25</v>
      </c>
      <c r="J27" s="6" t="s">
        <v>81</v>
      </c>
      <c r="K27" s="6" t="s">
        <v>19</v>
      </c>
      <c r="L27" s="8" t="s">
        <v>36</v>
      </c>
      <c r="M27" t="str">
        <f t="shared" si="0"/>
        <v>SELECT * FROM DOC_ASN_OPERATIONLOG WHERE warehouseId='CBT01'  AND YEAR(editTime) &lt; 2021;</v>
      </c>
    </row>
    <row r="28" spans="1:13" ht="21" x14ac:dyDescent="0.15">
      <c r="A28" s="3" t="s">
        <v>12</v>
      </c>
      <c r="B28" s="5">
        <v>386</v>
      </c>
      <c r="C28" s="7" t="s">
        <v>13</v>
      </c>
      <c r="D28" s="7" t="s">
        <v>56</v>
      </c>
      <c r="E28" s="7" t="s">
        <v>81</v>
      </c>
      <c r="F28" s="7" t="s">
        <v>81</v>
      </c>
      <c r="G28" s="7" t="s">
        <v>24</v>
      </c>
      <c r="H28" s="7" t="s">
        <v>81</v>
      </c>
      <c r="I28" s="7" t="s">
        <v>25</v>
      </c>
      <c r="J28" s="7" t="s">
        <v>81</v>
      </c>
      <c r="K28" s="7" t="s">
        <v>19</v>
      </c>
      <c r="L28" s="9" t="s">
        <v>36</v>
      </c>
      <c r="M28" t="str">
        <f t="shared" si="0"/>
        <v>SELECT * FROM DOC_ASN_PREPALLETIZE WHERE warehouseId='CBT01'  AND YEAR(editTime) &lt; 2021;</v>
      </c>
    </row>
    <row r="29" spans="1:13" ht="10.5" x14ac:dyDescent="0.15">
      <c r="A29" s="2" t="s">
        <v>12</v>
      </c>
      <c r="B29" s="4">
        <v>387</v>
      </c>
      <c r="C29" s="6" t="s">
        <v>13</v>
      </c>
      <c r="D29" s="6" t="s">
        <v>57</v>
      </c>
      <c r="E29" s="6" t="s">
        <v>81</v>
      </c>
      <c r="F29" s="6" t="s">
        <v>81</v>
      </c>
      <c r="G29" s="6" t="s">
        <v>24</v>
      </c>
      <c r="H29" s="6" t="s">
        <v>81</v>
      </c>
      <c r="I29" s="6" t="s">
        <v>25</v>
      </c>
      <c r="J29" s="6" t="s">
        <v>81</v>
      </c>
      <c r="K29" s="6" t="s">
        <v>19</v>
      </c>
      <c r="L29" s="8" t="s">
        <v>15</v>
      </c>
      <c r="M29" t="str">
        <f t="shared" si="0"/>
        <v>SELECT * FROM DOC_ASN_VAS WHERE warehouseId='CBT01'  AND YEAR(editTime) &lt; 2021;</v>
      </c>
    </row>
    <row r="30" spans="1:13" ht="10.5" x14ac:dyDescent="0.15">
      <c r="A30" s="3" t="s">
        <v>12</v>
      </c>
      <c r="B30" s="5">
        <v>388</v>
      </c>
      <c r="C30" s="7" t="s">
        <v>13</v>
      </c>
      <c r="D30" s="7" t="s">
        <v>58</v>
      </c>
      <c r="E30" s="7" t="s">
        <v>81</v>
      </c>
      <c r="F30" s="7" t="s">
        <v>81</v>
      </c>
      <c r="G30" s="7" t="s">
        <v>24</v>
      </c>
      <c r="H30" s="7" t="s">
        <v>81</v>
      </c>
      <c r="I30" s="7" t="s">
        <v>29</v>
      </c>
      <c r="J30" s="7" t="s">
        <v>59</v>
      </c>
      <c r="K30" s="7" t="s">
        <v>19</v>
      </c>
      <c r="L30" s="9" t="s">
        <v>15</v>
      </c>
      <c r="M30" t="str">
        <f t="shared" si="0"/>
        <v>SELECT * FROM TSK_TASKLISTS WHERE warehouseId='CBT01'  AND YEAR(editTime) &lt; 2021;</v>
      </c>
    </row>
    <row r="31" spans="1:13" ht="21" x14ac:dyDescent="0.15">
      <c r="A31" s="2" t="s">
        <v>12</v>
      </c>
      <c r="B31" s="4">
        <v>389</v>
      </c>
      <c r="C31" s="6" t="s">
        <v>13</v>
      </c>
      <c r="D31" s="6" t="s">
        <v>60</v>
      </c>
      <c r="E31" s="6" t="s">
        <v>81</v>
      </c>
      <c r="F31" s="6" t="s">
        <v>81</v>
      </c>
      <c r="G31" s="6" t="s">
        <v>24</v>
      </c>
      <c r="H31" s="6" t="s">
        <v>81</v>
      </c>
      <c r="I31" s="6" t="s">
        <v>29</v>
      </c>
      <c r="J31" s="6" t="s">
        <v>61</v>
      </c>
      <c r="K31" s="6" t="s">
        <v>19</v>
      </c>
      <c r="L31" s="8" t="s">
        <v>15</v>
      </c>
      <c r="M31" t="str">
        <f t="shared" si="0"/>
        <v>SELECT * FROM ACT_TRANSACTION_LOG WHERE warehouseId='CBT01'  AND YEAR(editTime) &lt; 2021;</v>
      </c>
    </row>
    <row r="32" spans="1:13" ht="21" x14ac:dyDescent="0.15">
      <c r="A32" s="3" t="s">
        <v>12</v>
      </c>
      <c r="B32" s="5">
        <v>390</v>
      </c>
      <c r="C32" s="7" t="s">
        <v>13</v>
      </c>
      <c r="D32" s="7" t="s">
        <v>62</v>
      </c>
      <c r="E32" s="7" t="s">
        <v>81</v>
      </c>
      <c r="F32" s="7" t="s">
        <v>81</v>
      </c>
      <c r="G32" s="7" t="s">
        <v>24</v>
      </c>
      <c r="H32" s="7" t="s">
        <v>81</v>
      </c>
      <c r="I32" s="7" t="s">
        <v>25</v>
      </c>
      <c r="J32" s="7" t="s">
        <v>63</v>
      </c>
      <c r="K32" s="7" t="s">
        <v>19</v>
      </c>
      <c r="L32" s="9" t="s">
        <v>15</v>
      </c>
      <c r="M32" t="str">
        <f t="shared" si="0"/>
        <v>SELECT * FROM DOC_ASN_SERIALNO WHERE warehouseId='CBT01'  AND YEAR(editTime) &lt; 2021;</v>
      </c>
    </row>
    <row r="33" spans="1:13" ht="21" x14ac:dyDescent="0.15">
      <c r="A33" s="2" t="s">
        <v>12</v>
      </c>
      <c r="B33" s="4">
        <v>391</v>
      </c>
      <c r="C33" s="6" t="s">
        <v>13</v>
      </c>
      <c r="D33" s="6" t="s">
        <v>64</v>
      </c>
      <c r="E33" s="6" t="s">
        <v>81</v>
      </c>
      <c r="F33" s="6" t="s">
        <v>81</v>
      </c>
      <c r="G33" s="6" t="s">
        <v>24</v>
      </c>
      <c r="H33" s="6" t="s">
        <v>81</v>
      </c>
      <c r="I33" s="6" t="s">
        <v>25</v>
      </c>
      <c r="J33" s="6" t="s">
        <v>63</v>
      </c>
      <c r="K33" s="6" t="s">
        <v>19</v>
      </c>
      <c r="L33" s="8" t="s">
        <v>15</v>
      </c>
      <c r="M33" t="str">
        <f t="shared" si="0"/>
        <v>SELECT * FROM DOC_ASN_SUBSERIALNO WHERE warehouseId='CBT01'  AND YEAR(editTime) &lt; 2021;</v>
      </c>
    </row>
    <row r="34" spans="1:13" ht="21" x14ac:dyDescent="0.15">
      <c r="A34" s="3" t="s">
        <v>12</v>
      </c>
      <c r="B34" s="5">
        <v>392</v>
      </c>
      <c r="C34" s="7" t="s">
        <v>13</v>
      </c>
      <c r="D34" s="7" t="s">
        <v>65</v>
      </c>
      <c r="E34" s="7" t="s">
        <v>81</v>
      </c>
      <c r="F34" s="7" t="s">
        <v>81</v>
      </c>
      <c r="G34" s="7" t="s">
        <v>24</v>
      </c>
      <c r="H34" s="7" t="s">
        <v>81</v>
      </c>
      <c r="I34" s="7" t="s">
        <v>25</v>
      </c>
      <c r="J34" s="7" t="s">
        <v>81</v>
      </c>
      <c r="K34" s="7" t="s">
        <v>19</v>
      </c>
      <c r="L34" s="9" t="s">
        <v>15</v>
      </c>
      <c r="M34" t="str">
        <f t="shared" si="0"/>
        <v>SELECT * FROM DOC_TRACE_DETAILS WHERE warehouseId='CBT01'  AND YEAR(editTime) &lt; 2021;</v>
      </c>
    </row>
    <row r="35" spans="1:13" ht="21" x14ac:dyDescent="0.15">
      <c r="A35" s="2" t="s">
        <v>12</v>
      </c>
      <c r="B35" s="4">
        <v>393</v>
      </c>
      <c r="C35" s="6" t="s">
        <v>13</v>
      </c>
      <c r="D35" s="6" t="s">
        <v>66</v>
      </c>
      <c r="E35" s="6" t="s">
        <v>81</v>
      </c>
      <c r="F35" s="6" t="s">
        <v>15</v>
      </c>
      <c r="G35" s="6" t="s">
        <v>24</v>
      </c>
      <c r="H35" s="6" t="s">
        <v>67</v>
      </c>
      <c r="I35" s="6" t="s">
        <v>25</v>
      </c>
      <c r="J35" s="6" t="s">
        <v>81</v>
      </c>
      <c r="K35" s="6" t="s">
        <v>19</v>
      </c>
      <c r="L35" s="8" t="s">
        <v>15</v>
      </c>
      <c r="M35" t="str">
        <f t="shared" si="0"/>
        <v>SELECT * FROM DOC_QC_HEADER WHERE warehouseId='CBT01'  AND YEAR(editTime) &lt; 2021;</v>
      </c>
    </row>
    <row r="36" spans="1:13" ht="21" x14ac:dyDescent="0.15">
      <c r="A36" s="3" t="s">
        <v>12</v>
      </c>
      <c r="B36" s="5">
        <v>394</v>
      </c>
      <c r="C36" s="7" t="s">
        <v>13</v>
      </c>
      <c r="D36" s="7" t="s">
        <v>68</v>
      </c>
      <c r="E36" s="7" t="s">
        <v>81</v>
      </c>
      <c r="F36" s="7" t="s">
        <v>81</v>
      </c>
      <c r="G36" s="7" t="s">
        <v>67</v>
      </c>
      <c r="H36" s="7" t="s">
        <v>81</v>
      </c>
      <c r="I36" s="7" t="s">
        <v>69</v>
      </c>
      <c r="J36" s="7" t="s">
        <v>81</v>
      </c>
      <c r="K36" s="7" t="s">
        <v>19</v>
      </c>
      <c r="L36" s="9" t="s">
        <v>36</v>
      </c>
      <c r="M36" t="str">
        <f t="shared" si="0"/>
        <v>SELECT * FROM DOC_QC_HEADER_UDF WHERE warehouseId='CBT01'  AND YEAR(editTime) &lt; 2021;</v>
      </c>
    </row>
    <row r="37" spans="1:13" ht="21" x14ac:dyDescent="0.15">
      <c r="A37" s="2" t="s">
        <v>12</v>
      </c>
      <c r="B37" s="4">
        <v>395</v>
      </c>
      <c r="C37" s="6" t="s">
        <v>13</v>
      </c>
      <c r="D37" s="6" t="s">
        <v>70</v>
      </c>
      <c r="E37" s="6" t="s">
        <v>81</v>
      </c>
      <c r="F37" s="6" t="s">
        <v>81</v>
      </c>
      <c r="G37" s="6" t="s">
        <v>67</v>
      </c>
      <c r="H37" s="6" t="s">
        <v>81</v>
      </c>
      <c r="I37" s="6" t="s">
        <v>69</v>
      </c>
      <c r="J37" s="6" t="s">
        <v>81</v>
      </c>
      <c r="K37" s="6" t="s">
        <v>19</v>
      </c>
      <c r="L37" s="8" t="s">
        <v>15</v>
      </c>
      <c r="M37" t="str">
        <f t="shared" si="0"/>
        <v>SELECT * FROM DOC_QC_DETAILS WHERE warehouseId='CBT01'  AND YEAR(editTime) &lt; 2021;</v>
      </c>
    </row>
    <row r="38" spans="1:13" ht="21" x14ac:dyDescent="0.15">
      <c r="A38" s="3" t="s">
        <v>12</v>
      </c>
      <c r="B38" s="5">
        <v>396</v>
      </c>
      <c r="C38" s="7" t="s">
        <v>13</v>
      </c>
      <c r="D38" s="7" t="s">
        <v>71</v>
      </c>
      <c r="E38" s="7" t="s">
        <v>81</v>
      </c>
      <c r="F38" s="7" t="s">
        <v>81</v>
      </c>
      <c r="G38" s="7" t="s">
        <v>67</v>
      </c>
      <c r="H38" s="7" t="s">
        <v>81</v>
      </c>
      <c r="I38" s="7" t="s">
        <v>69</v>
      </c>
      <c r="J38" s="7" t="s">
        <v>81</v>
      </c>
      <c r="K38" s="7" t="s">
        <v>19</v>
      </c>
      <c r="L38" s="9" t="s">
        <v>36</v>
      </c>
      <c r="M38" t="str">
        <f t="shared" si="0"/>
        <v>SELECT * FROM DOC_QC_DETAILS_UDF WHERE warehouseId='CBT01'  AND YEAR(editTime) &lt; 2021;</v>
      </c>
    </row>
    <row r="39" spans="1:13" ht="21" x14ac:dyDescent="0.15">
      <c r="A39" s="2" t="s">
        <v>12</v>
      </c>
      <c r="B39" s="4">
        <v>397</v>
      </c>
      <c r="C39" s="6" t="s">
        <v>13</v>
      </c>
      <c r="D39" s="6" t="s">
        <v>72</v>
      </c>
      <c r="E39" s="6" t="s">
        <v>81</v>
      </c>
      <c r="F39" s="6" t="s">
        <v>81</v>
      </c>
      <c r="G39" s="6" t="s">
        <v>67</v>
      </c>
      <c r="H39" s="6" t="s">
        <v>81</v>
      </c>
      <c r="I39" s="6" t="s">
        <v>69</v>
      </c>
      <c r="J39" s="6" t="s">
        <v>81</v>
      </c>
      <c r="K39" s="6" t="s">
        <v>19</v>
      </c>
      <c r="L39" s="8" t="s">
        <v>36</v>
      </c>
      <c r="M39" t="str">
        <f t="shared" si="0"/>
        <v>SELECT * FROM ACT_QC_TRANSACTION WHERE warehouseId='CBT01'  AND YEAR(editTime) &lt; 2021;</v>
      </c>
    </row>
    <row r="40" spans="1:13" ht="10.5" x14ac:dyDescent="0.15">
      <c r="A40" s="3" t="s">
        <v>12</v>
      </c>
      <c r="B40" s="5">
        <v>398</v>
      </c>
      <c r="C40" s="7" t="s">
        <v>13</v>
      </c>
      <c r="D40" s="7" t="s">
        <v>73</v>
      </c>
      <c r="E40" s="7" t="s">
        <v>74</v>
      </c>
      <c r="F40" s="7" t="s">
        <v>15</v>
      </c>
      <c r="G40" s="7" t="s">
        <v>75</v>
      </c>
      <c r="H40" s="7" t="s">
        <v>75</v>
      </c>
      <c r="I40" s="7" t="s">
        <v>76</v>
      </c>
      <c r="J40" s="7" t="s">
        <v>77</v>
      </c>
      <c r="K40" s="7" t="s">
        <v>19</v>
      </c>
      <c r="L40" s="9" t="s">
        <v>36</v>
      </c>
      <c r="M40" t="str">
        <f t="shared" si="0"/>
        <v>SELECT * FROM DOC_QV_HEADER WHERE warehouseId='CBT01'  AND YEAR(editTime) &lt; 2021;</v>
      </c>
    </row>
    <row r="41" spans="1:13" ht="21" x14ac:dyDescent="0.15">
      <c r="A41" s="2" t="s">
        <v>12</v>
      </c>
      <c r="B41" s="4">
        <v>399</v>
      </c>
      <c r="C41" s="6" t="s">
        <v>13</v>
      </c>
      <c r="D41" s="6" t="s">
        <v>78</v>
      </c>
      <c r="E41" s="6" t="s">
        <v>81</v>
      </c>
      <c r="F41" s="6" t="s">
        <v>81</v>
      </c>
      <c r="G41" s="6" t="s">
        <v>75</v>
      </c>
      <c r="H41" s="6" t="s">
        <v>81</v>
      </c>
      <c r="I41" s="6" t="s">
        <v>76</v>
      </c>
      <c r="J41" s="6" t="s">
        <v>81</v>
      </c>
      <c r="K41" s="6" t="s">
        <v>19</v>
      </c>
      <c r="L41" s="8" t="s">
        <v>36</v>
      </c>
      <c r="M41" t="str">
        <f t="shared" si="0"/>
        <v>SELECT * FROM DOC_QV_HEADER_UDF WHERE warehouseId='CBT01'  AND YEAR(editTime) &lt; 2021;</v>
      </c>
    </row>
    <row r="42" spans="1:13" ht="21" x14ac:dyDescent="0.15">
      <c r="A42" s="3" t="s">
        <v>12</v>
      </c>
      <c r="B42" s="5">
        <v>400</v>
      </c>
      <c r="C42" s="7" t="s">
        <v>13</v>
      </c>
      <c r="D42" s="7" t="s">
        <v>79</v>
      </c>
      <c r="E42" s="7" t="s">
        <v>81</v>
      </c>
      <c r="F42" s="7" t="s">
        <v>81</v>
      </c>
      <c r="G42" s="7" t="s">
        <v>75</v>
      </c>
      <c r="H42" s="7" t="s">
        <v>81</v>
      </c>
      <c r="I42" s="7" t="s">
        <v>76</v>
      </c>
      <c r="J42" s="7" t="s">
        <v>81</v>
      </c>
      <c r="K42" s="7" t="s">
        <v>19</v>
      </c>
      <c r="L42" s="9" t="s">
        <v>36</v>
      </c>
      <c r="M42" t="str">
        <f t="shared" si="0"/>
        <v>SELECT * FROM DOC_QV_DETAILS WHERE warehouseId='CBT01'  AND YEAR(editTime) &lt; 2021;</v>
      </c>
    </row>
    <row r="43" spans="1:13" ht="21" x14ac:dyDescent="0.15">
      <c r="A43" s="2" t="s">
        <v>12</v>
      </c>
      <c r="B43" s="4">
        <v>401</v>
      </c>
      <c r="C43" s="6" t="s">
        <v>13</v>
      </c>
      <c r="D43" s="6" t="s">
        <v>80</v>
      </c>
      <c r="E43" s="6" t="s">
        <v>81</v>
      </c>
      <c r="F43" s="6" t="s">
        <v>81</v>
      </c>
      <c r="G43" s="6" t="s">
        <v>75</v>
      </c>
      <c r="H43" s="6" t="s">
        <v>81</v>
      </c>
      <c r="I43" s="6" t="s">
        <v>76</v>
      </c>
      <c r="J43" s="6" t="s">
        <v>81</v>
      </c>
      <c r="K43" s="6" t="s">
        <v>19</v>
      </c>
      <c r="L43" s="8" t="s">
        <v>36</v>
      </c>
      <c r="M43" t="str">
        <f t="shared" si="0"/>
        <v>SELECT * FROM DOC_QV_DETAILS_UDF WHERE warehouseId='CBT01'  AND YEAR(editTime) &lt; 2021;</v>
      </c>
    </row>
  </sheetData>
  <pageMargins left="0.78740157480314965" right="0.39370078740157483" top="0.78740157480314965" bottom="0.78740157480314965" header="0.39370078740157483" footer="0.39370078740157483"/>
  <pageSetup paperSize="0" scale="0" orientation="portrait" usePrinterDefaults="0" useFirstPageNumber="1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expdata</vt:lpstr>
    </vt:vector>
  </TitlesOfParts>
  <Company>Devart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Ardiansah Akbar</cp:lastModifiedBy>
  <dcterms:modified xsi:type="dcterms:W3CDTF">2023-10-27T22:42:25Z</dcterms:modified>
</cp:coreProperties>
</file>